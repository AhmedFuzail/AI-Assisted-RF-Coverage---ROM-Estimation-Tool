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ricssonnam-my.sharepoint.com/personal/ahmed_fuzail_f_khan_ericsson_com/Documents/AI-ML/Ericsson ROM Tool NHEP5G/"/>
    </mc:Choice>
  </mc:AlternateContent>
  <xr:revisionPtr revIDLastSave="1" documentId="14_{CA26B425-3012-46E6-8ED1-B87E397051DB}" xr6:coauthVersionLast="47" xr6:coauthVersionMax="47" xr10:uidLastSave="{880C231A-7C4E-49C3-88D8-D1E1C5B4CCEE}"/>
  <bookViews>
    <workbookView xWindow="-120" yWindow="-120" windowWidth="38640" windowHeight="21120" activeTab="1" xr2:uid="{00000000-000D-0000-FFFF-FFFF00000000}"/>
  </bookViews>
  <sheets>
    <sheet name="Unique_Assumption_Library" sheetId="3" r:id="rId1"/>
    <sheet name="Building_Type" sheetId="6" r:id="rId2"/>
    <sheet name="Loss_Constants" sheetId="4" r:id="rId3"/>
    <sheet name="Method_Notes" sheetId="5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9" i="3" l="1"/>
  <c r="P349" i="3"/>
  <c r="O349" i="3"/>
  <c r="Q348" i="3"/>
  <c r="P348" i="3"/>
  <c r="O348" i="3"/>
  <c r="P347" i="3"/>
  <c r="Q347" i="3" s="1"/>
  <c r="O347" i="3"/>
  <c r="P346" i="3"/>
  <c r="O346" i="3"/>
  <c r="Q346" i="3" s="1"/>
  <c r="Q345" i="3"/>
  <c r="P345" i="3"/>
  <c r="O345" i="3"/>
  <c r="Q344" i="3"/>
  <c r="P344" i="3"/>
  <c r="O344" i="3"/>
  <c r="P343" i="3"/>
  <c r="O343" i="3"/>
  <c r="Q343" i="3" s="1"/>
  <c r="P342" i="3"/>
  <c r="O342" i="3"/>
  <c r="Q342" i="3" s="1"/>
  <c r="P341" i="3"/>
  <c r="O341" i="3"/>
  <c r="Q341" i="3" s="1"/>
  <c r="Q340" i="3"/>
  <c r="P340" i="3"/>
  <c r="O340" i="3"/>
  <c r="P339" i="3"/>
  <c r="Q339" i="3" s="1"/>
  <c r="O339" i="3"/>
  <c r="P338" i="3"/>
  <c r="O338" i="3"/>
  <c r="Q338" i="3" s="1"/>
  <c r="Q337" i="3"/>
  <c r="P337" i="3"/>
  <c r="O337" i="3"/>
  <c r="Q336" i="3"/>
  <c r="P336" i="3"/>
  <c r="O336" i="3"/>
  <c r="P335" i="3"/>
  <c r="O335" i="3"/>
  <c r="P334" i="3"/>
  <c r="O334" i="3"/>
  <c r="Q334" i="3" s="1"/>
  <c r="Q333" i="3"/>
  <c r="P333" i="3"/>
  <c r="O333" i="3"/>
  <c r="P332" i="3"/>
  <c r="Q332" i="3" s="1"/>
  <c r="O332" i="3"/>
  <c r="P331" i="3"/>
  <c r="Q331" i="3" s="1"/>
  <c r="O331" i="3"/>
  <c r="P330" i="3"/>
  <c r="O330" i="3"/>
  <c r="Q330" i="3" s="1"/>
  <c r="Q329" i="3"/>
  <c r="P329" i="3"/>
  <c r="O329" i="3"/>
  <c r="Q328" i="3"/>
  <c r="P328" i="3"/>
  <c r="O328" i="3"/>
  <c r="P327" i="3"/>
  <c r="O327" i="3"/>
  <c r="P326" i="3"/>
  <c r="O326" i="3"/>
  <c r="Q326" i="3" s="1"/>
  <c r="Q325" i="3"/>
  <c r="P325" i="3"/>
  <c r="O325" i="3"/>
  <c r="Q324" i="3"/>
  <c r="P324" i="3"/>
  <c r="O324" i="3"/>
  <c r="P323" i="3"/>
  <c r="Q323" i="3" s="1"/>
  <c r="O323" i="3"/>
  <c r="P322" i="3"/>
  <c r="O322" i="3"/>
  <c r="Q322" i="3" s="1"/>
  <c r="Q321" i="3"/>
  <c r="P321" i="3"/>
  <c r="O321" i="3"/>
  <c r="Q320" i="3"/>
  <c r="P320" i="3"/>
  <c r="O320" i="3"/>
  <c r="P319" i="3"/>
  <c r="O319" i="3"/>
  <c r="P318" i="3"/>
  <c r="O318" i="3"/>
  <c r="Q318" i="3" s="1"/>
  <c r="Q317" i="3"/>
  <c r="P317" i="3"/>
  <c r="O317" i="3"/>
  <c r="P316" i="3"/>
  <c r="Q316" i="3" s="1"/>
  <c r="O316" i="3"/>
  <c r="P315" i="3"/>
  <c r="Q315" i="3" s="1"/>
  <c r="O315" i="3"/>
  <c r="P314" i="3"/>
  <c r="O314" i="3"/>
  <c r="Q314" i="3" s="1"/>
  <c r="Q313" i="3"/>
  <c r="P313" i="3"/>
  <c r="O313" i="3"/>
  <c r="Q312" i="3"/>
  <c r="P312" i="3"/>
  <c r="O312" i="3"/>
  <c r="P311" i="3"/>
  <c r="O311" i="3"/>
  <c r="P310" i="3"/>
  <c r="O310" i="3"/>
  <c r="Q310" i="3" s="1"/>
  <c r="Q309" i="3"/>
  <c r="P309" i="3"/>
  <c r="O309" i="3"/>
  <c r="Q308" i="3"/>
  <c r="P308" i="3"/>
  <c r="O308" i="3"/>
  <c r="P307" i="3"/>
  <c r="Q307" i="3" s="1"/>
  <c r="O307" i="3"/>
  <c r="P306" i="3"/>
  <c r="O306" i="3"/>
  <c r="Q306" i="3" s="1"/>
  <c r="Q305" i="3"/>
  <c r="P305" i="3"/>
  <c r="O305" i="3"/>
  <c r="Q304" i="3"/>
  <c r="P304" i="3"/>
  <c r="O304" i="3"/>
  <c r="P303" i="3"/>
  <c r="O303" i="3"/>
  <c r="P302" i="3"/>
  <c r="O302" i="3"/>
  <c r="Q302" i="3" s="1"/>
  <c r="Q301" i="3"/>
  <c r="P301" i="3"/>
  <c r="O301" i="3"/>
  <c r="P300" i="3"/>
  <c r="Q300" i="3" s="1"/>
  <c r="O300" i="3"/>
  <c r="P299" i="3"/>
  <c r="Q299" i="3" s="1"/>
  <c r="O299" i="3"/>
  <c r="P298" i="3"/>
  <c r="O298" i="3"/>
  <c r="Q298" i="3" s="1"/>
  <c r="Q297" i="3"/>
  <c r="P297" i="3"/>
  <c r="O297" i="3"/>
  <c r="Q296" i="3"/>
  <c r="P296" i="3"/>
  <c r="O296" i="3"/>
  <c r="P295" i="3"/>
  <c r="O295" i="3"/>
  <c r="P294" i="3"/>
  <c r="O294" i="3"/>
  <c r="Q294" i="3" s="1"/>
  <c r="Q293" i="3"/>
  <c r="P293" i="3"/>
  <c r="O293" i="3"/>
  <c r="Q292" i="3"/>
  <c r="P292" i="3"/>
  <c r="O292" i="3"/>
  <c r="P291" i="3"/>
  <c r="Q291" i="3" s="1"/>
  <c r="O291" i="3"/>
  <c r="P290" i="3"/>
  <c r="O290" i="3"/>
  <c r="Q290" i="3" s="1"/>
  <c r="Q289" i="3"/>
  <c r="P289" i="3"/>
  <c r="O289" i="3"/>
  <c r="Q288" i="3"/>
  <c r="P288" i="3"/>
  <c r="O288" i="3"/>
  <c r="P287" i="3"/>
  <c r="O287" i="3"/>
  <c r="P286" i="3"/>
  <c r="O286" i="3"/>
  <c r="Q286" i="3" s="1"/>
  <c r="Q285" i="3"/>
  <c r="P285" i="3"/>
  <c r="O285" i="3"/>
  <c r="P284" i="3"/>
  <c r="Q284" i="3" s="1"/>
  <c r="O284" i="3"/>
  <c r="P283" i="3"/>
  <c r="Q283" i="3" s="1"/>
  <c r="O283" i="3"/>
  <c r="P282" i="3"/>
  <c r="O282" i="3"/>
  <c r="Q282" i="3" s="1"/>
  <c r="Q281" i="3"/>
  <c r="P281" i="3"/>
  <c r="O281" i="3"/>
  <c r="Q280" i="3"/>
  <c r="P280" i="3"/>
  <c r="O280" i="3"/>
  <c r="P279" i="3"/>
  <c r="O279" i="3"/>
  <c r="P278" i="3"/>
  <c r="O278" i="3"/>
  <c r="Q278" i="3" s="1"/>
  <c r="Q277" i="3"/>
  <c r="P277" i="3"/>
  <c r="O277" i="3"/>
  <c r="Q276" i="3"/>
  <c r="P276" i="3"/>
  <c r="O276" i="3"/>
  <c r="P275" i="3"/>
  <c r="Q275" i="3" s="1"/>
  <c r="O275" i="3"/>
  <c r="P274" i="3"/>
  <c r="O274" i="3"/>
  <c r="Q274" i="3" s="1"/>
  <c r="Q273" i="3"/>
  <c r="P273" i="3"/>
  <c r="O273" i="3"/>
  <c r="Q272" i="3"/>
  <c r="P272" i="3"/>
  <c r="O272" i="3"/>
  <c r="P271" i="3"/>
  <c r="O271" i="3"/>
  <c r="P270" i="3"/>
  <c r="O270" i="3"/>
  <c r="Q270" i="3" s="1"/>
  <c r="Q269" i="3"/>
  <c r="P269" i="3"/>
  <c r="O269" i="3"/>
  <c r="P268" i="3"/>
  <c r="Q268" i="3" s="1"/>
  <c r="O268" i="3"/>
  <c r="P267" i="3"/>
  <c r="Q267" i="3" s="1"/>
  <c r="O267" i="3"/>
  <c r="P266" i="3"/>
  <c r="O266" i="3"/>
  <c r="Q266" i="3" s="1"/>
  <c r="Q265" i="3"/>
  <c r="P265" i="3"/>
  <c r="O265" i="3"/>
  <c r="Q264" i="3"/>
  <c r="P264" i="3"/>
  <c r="O264" i="3"/>
  <c r="P263" i="3"/>
  <c r="O263" i="3"/>
  <c r="P262" i="3"/>
  <c r="O262" i="3"/>
  <c r="Q262" i="3" s="1"/>
  <c r="Q261" i="3"/>
  <c r="P261" i="3"/>
  <c r="O261" i="3"/>
  <c r="Q260" i="3"/>
  <c r="P260" i="3"/>
  <c r="O260" i="3"/>
  <c r="P259" i="3"/>
  <c r="Q259" i="3" s="1"/>
  <c r="O259" i="3"/>
  <c r="P258" i="3"/>
  <c r="O258" i="3"/>
  <c r="Q258" i="3" s="1"/>
  <c r="Q257" i="3"/>
  <c r="P257" i="3"/>
  <c r="O257" i="3"/>
  <c r="Q256" i="3"/>
  <c r="P256" i="3"/>
  <c r="O256" i="3"/>
  <c r="P255" i="3"/>
  <c r="O255" i="3"/>
  <c r="P254" i="3"/>
  <c r="O254" i="3"/>
  <c r="Q254" i="3" s="1"/>
  <c r="Q253" i="3"/>
  <c r="P253" i="3"/>
  <c r="O253" i="3"/>
  <c r="P252" i="3"/>
  <c r="Q252" i="3" s="1"/>
  <c r="O252" i="3"/>
  <c r="P251" i="3"/>
  <c r="Q251" i="3" s="1"/>
  <c r="O251" i="3"/>
  <c r="P250" i="3"/>
  <c r="O250" i="3"/>
  <c r="Q250" i="3" s="1"/>
  <c r="Q249" i="3"/>
  <c r="P249" i="3"/>
  <c r="O249" i="3"/>
  <c r="Q248" i="3"/>
  <c r="P248" i="3"/>
  <c r="O248" i="3"/>
  <c r="P247" i="3"/>
  <c r="O247" i="3"/>
  <c r="P246" i="3"/>
  <c r="O246" i="3"/>
  <c r="Q246" i="3" s="1"/>
  <c r="Q245" i="3"/>
  <c r="P245" i="3"/>
  <c r="O245" i="3"/>
  <c r="Q244" i="3"/>
  <c r="P244" i="3"/>
  <c r="O244" i="3"/>
  <c r="P243" i="3"/>
  <c r="Q243" i="3" s="1"/>
  <c r="O243" i="3"/>
  <c r="P242" i="3"/>
  <c r="O242" i="3"/>
  <c r="Q242" i="3" s="1"/>
  <c r="Q241" i="3"/>
  <c r="P241" i="3"/>
  <c r="O241" i="3"/>
  <c r="Q240" i="3"/>
  <c r="P240" i="3"/>
  <c r="O240" i="3"/>
  <c r="P239" i="3"/>
  <c r="O239" i="3"/>
  <c r="P238" i="3"/>
  <c r="O238" i="3"/>
  <c r="Q238" i="3" s="1"/>
  <c r="Q237" i="3"/>
  <c r="P237" i="3"/>
  <c r="O237" i="3"/>
  <c r="P236" i="3"/>
  <c r="Q236" i="3" s="1"/>
  <c r="O236" i="3"/>
  <c r="P235" i="3"/>
  <c r="Q235" i="3" s="1"/>
  <c r="O235" i="3"/>
  <c r="P234" i="3"/>
  <c r="O234" i="3"/>
  <c r="Q234" i="3" s="1"/>
  <c r="Q233" i="3"/>
  <c r="P233" i="3"/>
  <c r="O233" i="3"/>
  <c r="Q232" i="3"/>
  <c r="P232" i="3"/>
  <c r="O232" i="3"/>
  <c r="P231" i="3"/>
  <c r="O231" i="3"/>
  <c r="Q231" i="3" s="1"/>
  <c r="P230" i="3"/>
  <c r="O230" i="3"/>
  <c r="Q230" i="3" s="1"/>
  <c r="Q229" i="3"/>
  <c r="P229" i="3"/>
  <c r="O229" i="3"/>
  <c r="Q228" i="3"/>
  <c r="P228" i="3"/>
  <c r="O228" i="3"/>
  <c r="P227" i="3"/>
  <c r="Q227" i="3" s="1"/>
  <c r="O227" i="3"/>
  <c r="P226" i="3"/>
  <c r="O226" i="3"/>
  <c r="Q226" i="3" s="1"/>
  <c r="Q225" i="3"/>
  <c r="P225" i="3"/>
  <c r="O225" i="3"/>
  <c r="Q224" i="3"/>
  <c r="P224" i="3"/>
  <c r="O224" i="3"/>
  <c r="P223" i="3"/>
  <c r="O223" i="3"/>
  <c r="P222" i="3"/>
  <c r="O222" i="3"/>
  <c r="Q222" i="3" s="1"/>
  <c r="Q221" i="3"/>
  <c r="P221" i="3"/>
  <c r="O221" i="3"/>
  <c r="P220" i="3"/>
  <c r="Q220" i="3" s="1"/>
  <c r="O220" i="3"/>
  <c r="P219" i="3"/>
  <c r="Q219" i="3" s="1"/>
  <c r="O219" i="3"/>
  <c r="P218" i="3"/>
  <c r="O218" i="3"/>
  <c r="Q218" i="3" s="1"/>
  <c r="Q217" i="3"/>
  <c r="P217" i="3"/>
  <c r="O217" i="3"/>
  <c r="Q216" i="3"/>
  <c r="P216" i="3"/>
  <c r="O216" i="3"/>
  <c r="P215" i="3"/>
  <c r="O215" i="3"/>
  <c r="Q215" i="3" s="1"/>
  <c r="P214" i="3"/>
  <c r="O214" i="3"/>
  <c r="Q214" i="3" s="1"/>
  <c r="Q213" i="3"/>
  <c r="P213" i="3"/>
  <c r="O213" i="3"/>
  <c r="Q212" i="3"/>
  <c r="P212" i="3"/>
  <c r="O212" i="3"/>
  <c r="P211" i="3"/>
  <c r="Q211" i="3" s="1"/>
  <c r="O211" i="3"/>
  <c r="P210" i="3"/>
  <c r="O210" i="3"/>
  <c r="Q210" i="3" s="1"/>
  <c r="Q209" i="3"/>
  <c r="P209" i="3"/>
  <c r="O209" i="3"/>
  <c r="Q208" i="3"/>
  <c r="P208" i="3"/>
  <c r="O208" i="3"/>
  <c r="P207" i="3"/>
  <c r="O207" i="3"/>
  <c r="P206" i="3"/>
  <c r="O206" i="3"/>
  <c r="Q206" i="3" s="1"/>
  <c r="Q205" i="3"/>
  <c r="P205" i="3"/>
  <c r="O205" i="3"/>
  <c r="P204" i="3"/>
  <c r="Q204" i="3" s="1"/>
  <c r="O204" i="3"/>
  <c r="P203" i="3"/>
  <c r="Q203" i="3" s="1"/>
  <c r="O203" i="3"/>
  <c r="P202" i="3"/>
  <c r="O202" i="3"/>
  <c r="Q202" i="3" s="1"/>
  <c r="Q201" i="3"/>
  <c r="P201" i="3"/>
  <c r="O201" i="3"/>
  <c r="Q200" i="3"/>
  <c r="P200" i="3"/>
  <c r="O200" i="3"/>
  <c r="P199" i="3"/>
  <c r="O199" i="3"/>
  <c r="Q199" i="3" s="1"/>
  <c r="P198" i="3"/>
  <c r="O198" i="3"/>
  <c r="Q198" i="3" s="1"/>
  <c r="Q197" i="3"/>
  <c r="P197" i="3"/>
  <c r="O197" i="3"/>
  <c r="Q196" i="3"/>
  <c r="P196" i="3"/>
  <c r="O196" i="3"/>
  <c r="P195" i="3"/>
  <c r="Q195" i="3" s="1"/>
  <c r="O195" i="3"/>
  <c r="P194" i="3"/>
  <c r="O194" i="3"/>
  <c r="Q194" i="3" s="1"/>
  <c r="Q193" i="3"/>
  <c r="P193" i="3"/>
  <c r="O193" i="3"/>
  <c r="Q192" i="3"/>
  <c r="P192" i="3"/>
  <c r="O192" i="3"/>
  <c r="P191" i="3"/>
  <c r="O191" i="3"/>
  <c r="P190" i="3"/>
  <c r="O190" i="3"/>
  <c r="Q190" i="3" s="1"/>
  <c r="Q189" i="3"/>
  <c r="P189" i="3"/>
  <c r="O189" i="3"/>
  <c r="P188" i="3"/>
  <c r="Q188" i="3" s="1"/>
  <c r="O188" i="3"/>
  <c r="P187" i="3"/>
  <c r="Q187" i="3" s="1"/>
  <c r="O187" i="3"/>
  <c r="P186" i="3"/>
  <c r="O186" i="3"/>
  <c r="Q186" i="3" s="1"/>
  <c r="Q185" i="3"/>
  <c r="P185" i="3"/>
  <c r="O185" i="3"/>
  <c r="Q184" i="3"/>
  <c r="P184" i="3"/>
  <c r="O184" i="3"/>
  <c r="P183" i="3"/>
  <c r="O183" i="3"/>
  <c r="Q183" i="3" s="1"/>
  <c r="P182" i="3"/>
  <c r="O182" i="3"/>
  <c r="Q182" i="3" s="1"/>
  <c r="Q181" i="3"/>
  <c r="P181" i="3"/>
  <c r="O181" i="3"/>
  <c r="Q180" i="3"/>
  <c r="P180" i="3"/>
  <c r="O180" i="3"/>
  <c r="P179" i="3"/>
  <c r="Q179" i="3" s="1"/>
  <c r="O179" i="3"/>
  <c r="P178" i="3"/>
  <c r="O178" i="3"/>
  <c r="Q178" i="3" s="1"/>
  <c r="Q177" i="3"/>
  <c r="P177" i="3"/>
  <c r="O177" i="3"/>
  <c r="Q176" i="3"/>
  <c r="P176" i="3"/>
  <c r="O176" i="3"/>
  <c r="P175" i="3"/>
  <c r="O175" i="3"/>
  <c r="P174" i="3"/>
  <c r="O174" i="3"/>
  <c r="Q174" i="3" s="1"/>
  <c r="Q173" i="3"/>
  <c r="P173" i="3"/>
  <c r="O173" i="3"/>
  <c r="P172" i="3"/>
  <c r="Q172" i="3" s="1"/>
  <c r="O172" i="3"/>
  <c r="P171" i="3"/>
  <c r="Q171" i="3" s="1"/>
  <c r="O171" i="3"/>
  <c r="P170" i="3"/>
  <c r="O170" i="3"/>
  <c r="Q170" i="3" s="1"/>
  <c r="Q169" i="3"/>
  <c r="P169" i="3"/>
  <c r="O169" i="3"/>
  <c r="Q168" i="3"/>
  <c r="P168" i="3"/>
  <c r="O168" i="3"/>
  <c r="P167" i="3"/>
  <c r="O167" i="3"/>
  <c r="Q167" i="3" s="1"/>
  <c r="P166" i="3"/>
  <c r="O166" i="3"/>
  <c r="Q166" i="3" s="1"/>
  <c r="Q165" i="3"/>
  <c r="P165" i="3"/>
  <c r="O165" i="3"/>
  <c r="Q164" i="3"/>
  <c r="P164" i="3"/>
  <c r="O164" i="3"/>
  <c r="P163" i="3"/>
  <c r="Q163" i="3" s="1"/>
  <c r="O163" i="3"/>
  <c r="P162" i="3"/>
  <c r="O162" i="3"/>
  <c r="Q162" i="3" s="1"/>
  <c r="Q161" i="3"/>
  <c r="P161" i="3"/>
  <c r="O161" i="3"/>
  <c r="Q160" i="3"/>
  <c r="P160" i="3"/>
  <c r="O160" i="3"/>
  <c r="P159" i="3"/>
  <c r="O159" i="3"/>
  <c r="P158" i="3"/>
  <c r="O158" i="3"/>
  <c r="Q158" i="3" s="1"/>
  <c r="Q157" i="3"/>
  <c r="P157" i="3"/>
  <c r="O157" i="3"/>
  <c r="P156" i="3"/>
  <c r="Q156" i="3" s="1"/>
  <c r="O156" i="3"/>
  <c r="P155" i="3"/>
  <c r="Q155" i="3" s="1"/>
  <c r="O155" i="3"/>
  <c r="P154" i="3"/>
  <c r="O154" i="3"/>
  <c r="Q154" i="3" s="1"/>
  <c r="Q153" i="3"/>
  <c r="P153" i="3"/>
  <c r="O153" i="3"/>
  <c r="Q152" i="3"/>
  <c r="P152" i="3"/>
  <c r="O152" i="3"/>
  <c r="P151" i="3"/>
  <c r="O151" i="3"/>
  <c r="Q151" i="3" s="1"/>
  <c r="P150" i="3"/>
  <c r="O150" i="3"/>
  <c r="Q150" i="3" s="1"/>
  <c r="Q149" i="3"/>
  <c r="P149" i="3"/>
  <c r="O149" i="3"/>
  <c r="Q148" i="3"/>
  <c r="P148" i="3"/>
  <c r="O148" i="3"/>
  <c r="P147" i="3"/>
  <c r="Q147" i="3" s="1"/>
  <c r="O147" i="3"/>
  <c r="P146" i="3"/>
  <c r="O146" i="3"/>
  <c r="Q146" i="3" s="1"/>
  <c r="Q145" i="3"/>
  <c r="P145" i="3"/>
  <c r="O145" i="3"/>
  <c r="Q144" i="3"/>
  <c r="P144" i="3"/>
  <c r="O144" i="3"/>
  <c r="P143" i="3"/>
  <c r="O143" i="3"/>
  <c r="P142" i="3"/>
  <c r="O142" i="3"/>
  <c r="Q142" i="3" s="1"/>
  <c r="Q141" i="3"/>
  <c r="P141" i="3"/>
  <c r="O141" i="3"/>
  <c r="P140" i="3"/>
  <c r="Q140" i="3" s="1"/>
  <c r="O140" i="3"/>
  <c r="P139" i="3"/>
  <c r="Q139" i="3" s="1"/>
  <c r="O139" i="3"/>
  <c r="P138" i="3"/>
  <c r="O138" i="3"/>
  <c r="Q138" i="3" s="1"/>
  <c r="Q137" i="3"/>
  <c r="P137" i="3"/>
  <c r="O137" i="3"/>
  <c r="Q136" i="3"/>
  <c r="P136" i="3"/>
  <c r="O136" i="3"/>
  <c r="P135" i="3"/>
  <c r="O135" i="3"/>
  <c r="Q135" i="3" s="1"/>
  <c r="P134" i="3"/>
  <c r="O134" i="3"/>
  <c r="Q134" i="3" s="1"/>
  <c r="Q133" i="3"/>
  <c r="P133" i="3"/>
  <c r="O133" i="3"/>
  <c r="Q132" i="3"/>
  <c r="P132" i="3"/>
  <c r="O132" i="3"/>
  <c r="P131" i="3"/>
  <c r="Q131" i="3" s="1"/>
  <c r="O131" i="3"/>
  <c r="P130" i="3"/>
  <c r="O130" i="3"/>
  <c r="Q130" i="3" s="1"/>
  <c r="Q129" i="3"/>
  <c r="P129" i="3"/>
  <c r="O129" i="3"/>
  <c r="Q128" i="3"/>
  <c r="P128" i="3"/>
  <c r="O128" i="3"/>
  <c r="P127" i="3"/>
  <c r="O127" i="3"/>
  <c r="P126" i="3"/>
  <c r="O126" i="3"/>
  <c r="Q126" i="3" s="1"/>
  <c r="Q125" i="3"/>
  <c r="P125" i="3"/>
  <c r="O125" i="3"/>
  <c r="P124" i="3"/>
  <c r="Q124" i="3" s="1"/>
  <c r="O124" i="3"/>
  <c r="P123" i="3"/>
  <c r="Q123" i="3" s="1"/>
  <c r="O123" i="3"/>
  <c r="P122" i="3"/>
  <c r="O122" i="3"/>
  <c r="Q122" i="3" s="1"/>
  <c r="Q121" i="3"/>
  <c r="P121" i="3"/>
  <c r="O121" i="3"/>
  <c r="Q120" i="3"/>
  <c r="P120" i="3"/>
  <c r="O120" i="3"/>
  <c r="P119" i="3"/>
  <c r="O119" i="3"/>
  <c r="Q119" i="3" s="1"/>
  <c r="P118" i="3"/>
  <c r="O118" i="3"/>
  <c r="Q118" i="3" s="1"/>
  <c r="Q117" i="3"/>
  <c r="P117" i="3"/>
  <c r="O117" i="3"/>
  <c r="Q116" i="3"/>
  <c r="P116" i="3"/>
  <c r="O116" i="3"/>
  <c r="P115" i="3"/>
  <c r="Q115" i="3" s="1"/>
  <c r="O115" i="3"/>
  <c r="P114" i="3"/>
  <c r="O114" i="3"/>
  <c r="Q114" i="3" s="1"/>
  <c r="Q113" i="3"/>
  <c r="P113" i="3"/>
  <c r="O113" i="3"/>
  <c r="Q112" i="3"/>
  <c r="P112" i="3"/>
  <c r="O112" i="3"/>
  <c r="P111" i="3"/>
  <c r="O111" i="3"/>
  <c r="P110" i="3"/>
  <c r="O110" i="3"/>
  <c r="Q110" i="3" s="1"/>
  <c r="Q109" i="3"/>
  <c r="P109" i="3"/>
  <c r="O109" i="3"/>
  <c r="P108" i="3"/>
  <c r="Q108" i="3" s="1"/>
  <c r="O108" i="3"/>
  <c r="P107" i="3"/>
  <c r="Q107" i="3" s="1"/>
  <c r="O107" i="3"/>
  <c r="P106" i="3"/>
  <c r="O106" i="3"/>
  <c r="Q106" i="3" s="1"/>
  <c r="Q105" i="3"/>
  <c r="P105" i="3"/>
  <c r="O105" i="3"/>
  <c r="Q104" i="3"/>
  <c r="P104" i="3"/>
  <c r="O104" i="3"/>
  <c r="P103" i="3"/>
  <c r="O103" i="3"/>
  <c r="Q103" i="3" s="1"/>
  <c r="P102" i="3"/>
  <c r="O102" i="3"/>
  <c r="Q102" i="3" s="1"/>
  <c r="P101" i="3"/>
  <c r="O101" i="3"/>
  <c r="Q101" i="3" s="1"/>
  <c r="P100" i="3"/>
  <c r="Q100" i="3" s="1"/>
  <c r="O100" i="3"/>
  <c r="P99" i="3"/>
  <c r="Q99" i="3" s="1"/>
  <c r="O99" i="3"/>
  <c r="P98" i="3"/>
  <c r="O98" i="3"/>
  <c r="Q98" i="3" s="1"/>
  <c r="Q97" i="3"/>
  <c r="P97" i="3"/>
  <c r="O97" i="3"/>
  <c r="Q96" i="3"/>
  <c r="P96" i="3"/>
  <c r="O96" i="3"/>
  <c r="P95" i="3"/>
  <c r="O95" i="3"/>
  <c r="Q95" i="3" s="1"/>
  <c r="P94" i="3"/>
  <c r="O94" i="3"/>
  <c r="Q94" i="3" s="1"/>
  <c r="P93" i="3"/>
  <c r="O93" i="3"/>
  <c r="Q93" i="3" s="1"/>
  <c r="Q92" i="3"/>
  <c r="P92" i="3"/>
  <c r="O92" i="3"/>
  <c r="P91" i="3"/>
  <c r="Q91" i="3" s="1"/>
  <c r="O91" i="3"/>
  <c r="P90" i="3"/>
  <c r="O90" i="3"/>
  <c r="Q90" i="3" s="1"/>
  <c r="Q89" i="3"/>
  <c r="P89" i="3"/>
  <c r="O89" i="3"/>
  <c r="Q88" i="3"/>
  <c r="P88" i="3"/>
  <c r="O88" i="3"/>
  <c r="P87" i="3"/>
  <c r="O87" i="3"/>
  <c r="Q87" i="3" s="1"/>
  <c r="P86" i="3"/>
  <c r="O86" i="3"/>
  <c r="Q86" i="3" s="1"/>
  <c r="P85" i="3"/>
  <c r="O85" i="3"/>
  <c r="Q85" i="3" s="1"/>
  <c r="Q84" i="3"/>
  <c r="P84" i="3"/>
  <c r="O84" i="3"/>
  <c r="P83" i="3"/>
  <c r="Q83" i="3" s="1"/>
  <c r="O83" i="3"/>
  <c r="P82" i="3"/>
  <c r="O82" i="3"/>
  <c r="Q82" i="3" s="1"/>
  <c r="Q81" i="3"/>
  <c r="P81" i="3"/>
  <c r="O81" i="3"/>
  <c r="Q80" i="3"/>
  <c r="P80" i="3"/>
  <c r="O80" i="3"/>
  <c r="P79" i="3"/>
  <c r="O79" i="3"/>
  <c r="P78" i="3"/>
  <c r="O78" i="3"/>
  <c r="Q78" i="3" s="1"/>
  <c r="P77" i="3"/>
  <c r="O77" i="3"/>
  <c r="Q77" i="3" s="1"/>
  <c r="Q76" i="3"/>
  <c r="P76" i="3"/>
  <c r="O76" i="3"/>
  <c r="P75" i="3"/>
  <c r="Q75" i="3" s="1"/>
  <c r="O75" i="3"/>
  <c r="P74" i="3"/>
  <c r="O74" i="3"/>
  <c r="Q74" i="3" s="1"/>
  <c r="Q73" i="3"/>
  <c r="P73" i="3"/>
  <c r="O73" i="3"/>
  <c r="Q72" i="3"/>
  <c r="P72" i="3"/>
  <c r="O72" i="3"/>
  <c r="P71" i="3"/>
  <c r="O71" i="3"/>
  <c r="P70" i="3"/>
  <c r="O70" i="3"/>
  <c r="Q70" i="3" s="1"/>
  <c r="P69" i="3"/>
  <c r="O69" i="3"/>
  <c r="Q69" i="3" s="1"/>
  <c r="P68" i="3"/>
  <c r="Q68" i="3" s="1"/>
  <c r="O68" i="3"/>
  <c r="P67" i="3"/>
  <c r="Q67" i="3" s="1"/>
  <c r="O67" i="3"/>
  <c r="P66" i="3"/>
  <c r="O66" i="3"/>
  <c r="Q66" i="3" s="1"/>
  <c r="Q65" i="3"/>
  <c r="P65" i="3"/>
  <c r="O65" i="3"/>
  <c r="Q64" i="3"/>
  <c r="P64" i="3"/>
  <c r="O64" i="3"/>
  <c r="P63" i="3"/>
  <c r="O63" i="3"/>
  <c r="P62" i="3"/>
  <c r="O62" i="3"/>
  <c r="Q62" i="3" s="1"/>
  <c r="P61" i="3"/>
  <c r="O61" i="3"/>
  <c r="Q61" i="3" s="1"/>
  <c r="P60" i="3"/>
  <c r="Q60" i="3" s="1"/>
  <c r="O60" i="3"/>
  <c r="P59" i="3"/>
  <c r="Q59" i="3" s="1"/>
  <c r="O59" i="3"/>
  <c r="P58" i="3"/>
  <c r="O58" i="3"/>
  <c r="Q58" i="3" s="1"/>
  <c r="Q57" i="3"/>
  <c r="P57" i="3"/>
  <c r="O57" i="3"/>
  <c r="Q56" i="3"/>
  <c r="P56" i="3"/>
  <c r="O56" i="3"/>
  <c r="P55" i="3"/>
  <c r="O55" i="3"/>
  <c r="Q55" i="3" s="1"/>
  <c r="P54" i="3"/>
  <c r="O54" i="3"/>
  <c r="Q54" i="3" s="1"/>
  <c r="P53" i="3"/>
  <c r="O53" i="3"/>
  <c r="Q53" i="3" s="1"/>
  <c r="P52" i="3"/>
  <c r="Q52" i="3" s="1"/>
  <c r="O52" i="3"/>
  <c r="P51" i="3"/>
  <c r="Q51" i="3" s="1"/>
  <c r="O51" i="3"/>
  <c r="P50" i="3"/>
  <c r="O50" i="3"/>
  <c r="Q50" i="3" s="1"/>
  <c r="Q49" i="3"/>
  <c r="P49" i="3"/>
  <c r="O49" i="3"/>
  <c r="Q48" i="3"/>
  <c r="P48" i="3"/>
  <c r="O48" i="3"/>
  <c r="P47" i="3"/>
  <c r="O47" i="3"/>
  <c r="Q47" i="3" s="1"/>
  <c r="P46" i="3"/>
  <c r="O46" i="3"/>
  <c r="Q46" i="3" s="1"/>
  <c r="P45" i="3"/>
  <c r="O45" i="3"/>
  <c r="Q45" i="3" s="1"/>
  <c r="P44" i="3"/>
  <c r="Q44" i="3" s="1"/>
  <c r="O44" i="3"/>
  <c r="P43" i="3"/>
  <c r="Q43" i="3" s="1"/>
  <c r="O43" i="3"/>
  <c r="P42" i="3"/>
  <c r="O42" i="3"/>
  <c r="Q42" i="3" s="1"/>
  <c r="Q41" i="3"/>
  <c r="P41" i="3"/>
  <c r="O41" i="3"/>
  <c r="Q40" i="3"/>
  <c r="P40" i="3"/>
  <c r="O40" i="3"/>
  <c r="P39" i="3"/>
  <c r="O39" i="3"/>
  <c r="Q39" i="3" s="1"/>
  <c r="P38" i="3"/>
  <c r="O38" i="3"/>
  <c r="Q38" i="3" s="1"/>
  <c r="P37" i="3"/>
  <c r="O37" i="3"/>
  <c r="Q37" i="3" s="1"/>
  <c r="P36" i="3"/>
  <c r="Q36" i="3" s="1"/>
  <c r="O36" i="3"/>
  <c r="P35" i="3"/>
  <c r="Q35" i="3" s="1"/>
  <c r="O35" i="3"/>
  <c r="P34" i="3"/>
  <c r="O34" i="3"/>
  <c r="Q34" i="3" s="1"/>
  <c r="Q33" i="3"/>
  <c r="P33" i="3"/>
  <c r="O33" i="3"/>
  <c r="Q32" i="3"/>
  <c r="P32" i="3"/>
  <c r="O32" i="3"/>
  <c r="P31" i="3"/>
  <c r="O31" i="3"/>
  <c r="Q31" i="3" s="1"/>
  <c r="P30" i="3"/>
  <c r="O30" i="3"/>
  <c r="Q30" i="3" s="1"/>
  <c r="P29" i="3"/>
  <c r="O29" i="3"/>
  <c r="Q29" i="3" s="1"/>
  <c r="Q28" i="3"/>
  <c r="P28" i="3"/>
  <c r="O28" i="3"/>
  <c r="P27" i="3"/>
  <c r="Q27" i="3" s="1"/>
  <c r="O27" i="3"/>
  <c r="P26" i="3"/>
  <c r="O26" i="3"/>
  <c r="Q26" i="3" s="1"/>
  <c r="Q25" i="3"/>
  <c r="P25" i="3"/>
  <c r="O25" i="3"/>
  <c r="Q24" i="3"/>
  <c r="P24" i="3"/>
  <c r="O24" i="3"/>
  <c r="P23" i="3"/>
  <c r="O23" i="3"/>
  <c r="Q23" i="3" s="1"/>
  <c r="P22" i="3"/>
  <c r="O22" i="3"/>
  <c r="Q22" i="3" s="1"/>
  <c r="P21" i="3"/>
  <c r="O21" i="3"/>
  <c r="Q21" i="3" s="1"/>
  <c r="Q20" i="3"/>
  <c r="P20" i="3"/>
  <c r="O20" i="3"/>
  <c r="P19" i="3"/>
  <c r="Q19" i="3" s="1"/>
  <c r="O19" i="3"/>
  <c r="P18" i="3"/>
  <c r="O18" i="3"/>
  <c r="Q18" i="3" s="1"/>
  <c r="Q17" i="3"/>
  <c r="P17" i="3"/>
  <c r="O17" i="3"/>
  <c r="Q16" i="3"/>
  <c r="P16" i="3"/>
  <c r="O16" i="3"/>
  <c r="P15" i="3"/>
  <c r="O15" i="3"/>
  <c r="P14" i="3"/>
  <c r="O14" i="3"/>
  <c r="Q14" i="3" s="1"/>
  <c r="P13" i="3"/>
  <c r="O13" i="3"/>
  <c r="Q13" i="3" s="1"/>
  <c r="Q12" i="3"/>
  <c r="P12" i="3"/>
  <c r="O12" i="3"/>
  <c r="P11" i="3"/>
  <c r="Q11" i="3" s="1"/>
  <c r="O11" i="3"/>
  <c r="P10" i="3"/>
  <c r="O10" i="3"/>
  <c r="Q10" i="3" s="1"/>
  <c r="Q9" i="3"/>
  <c r="P9" i="3"/>
  <c r="O9" i="3"/>
  <c r="Q8" i="3"/>
  <c r="P8" i="3"/>
  <c r="O8" i="3"/>
  <c r="P7" i="3"/>
  <c r="O7" i="3"/>
  <c r="P6" i="3"/>
  <c r="O6" i="3"/>
  <c r="Q6" i="3" s="1"/>
  <c r="P5" i="3"/>
  <c r="O5" i="3"/>
  <c r="Q5" i="3" s="1"/>
  <c r="P4" i="3"/>
  <c r="Q4" i="3" s="1"/>
  <c r="O4" i="3"/>
  <c r="P3" i="3"/>
  <c r="Q3" i="3" s="1"/>
  <c r="O3" i="3"/>
  <c r="P2" i="3"/>
  <c r="O2" i="3"/>
  <c r="Q2" i="3" s="1"/>
  <c r="Q63" i="3" l="1"/>
  <c r="Q7" i="3"/>
  <c r="Q71" i="3"/>
  <c r="Q111" i="3"/>
  <c r="Q127" i="3"/>
  <c r="Q143" i="3"/>
  <c r="Q159" i="3"/>
  <c r="Q175" i="3"/>
  <c r="Q191" i="3"/>
  <c r="Q207" i="3"/>
  <c r="Q223" i="3"/>
  <c r="Q239" i="3"/>
  <c r="Q255" i="3"/>
  <c r="Q271" i="3"/>
  <c r="Q287" i="3"/>
  <c r="Q303" i="3"/>
  <c r="Q319" i="3"/>
  <c r="Q335" i="3"/>
  <c r="Q15" i="3"/>
  <c r="Q79" i="3"/>
  <c r="Q247" i="3"/>
  <c r="Q263" i="3"/>
  <c r="Q279" i="3"/>
  <c r="Q295" i="3"/>
  <c r="Q311" i="3"/>
  <c r="Q327" i="3"/>
</calcChain>
</file>

<file path=xl/sharedStrings.xml><?xml version="1.0" encoding="utf-8"?>
<sst xmlns="http://schemas.openxmlformats.org/spreadsheetml/2006/main" count="5842" uniqueCount="829">
  <si>
    <t>Assumption_Profile</t>
  </si>
  <si>
    <t>Admin_Office</t>
  </si>
  <si>
    <t>admin/office assumptions</t>
  </si>
  <si>
    <t>Airport_Public</t>
  </si>
  <si>
    <t>airport terminal/concourse/gate assumptions</t>
  </si>
  <si>
    <t>Baggage_Industrial</t>
  </si>
  <si>
    <t>baggage/material handling assumptions</t>
  </si>
  <si>
    <t>Bathroom</t>
  </si>
  <si>
    <t>bathroom/wet-wall assumptions</t>
  </si>
  <si>
    <t>Book_Stacks</t>
  </si>
  <si>
    <t>book stacks/storage assumptions</t>
  </si>
  <si>
    <t>Breakroom</t>
  </si>
  <si>
    <t>breakroom/pantry/light food service</t>
  </si>
  <si>
    <t>Bulk_Racking</t>
  </si>
  <si>
    <t>bulk storage/high rack assumptions</t>
  </si>
  <si>
    <t>Cleanroom</t>
  </si>
  <si>
    <t>cleanroom bay/production assumptions</t>
  </si>
  <si>
    <t>Cleanroom_Support</t>
  </si>
  <si>
    <t>subfab/utility chase/chemical/gas support</t>
  </si>
  <si>
    <t>Concourse_Public</t>
  </si>
  <si>
    <t>public concourse/concessions/restrooms assumptions</t>
  </si>
  <si>
    <t>Corridor</t>
  </si>
  <si>
    <t>corridor/circulation assumptions</t>
  </si>
  <si>
    <t>Data_Center</t>
  </si>
  <si>
    <t>data hall/rack/equipment assumptions</t>
  </si>
  <si>
    <t>Education_Classroom</t>
  </si>
  <si>
    <t>classroom/admin/education assumptions</t>
  </si>
  <si>
    <t>Food_Court_Dining</t>
  </si>
  <si>
    <t>food court/dining/seating assumptions</t>
  </si>
  <si>
    <t>Gowning</t>
  </si>
  <si>
    <t>gowning/airlock/support assumptions</t>
  </si>
  <si>
    <t>Grocery</t>
  </si>
  <si>
    <t>grocery/refrigerated retail assumptions</t>
  </si>
  <si>
    <t>Gym_Auditorium</t>
  </si>
  <si>
    <t>gym/auditorium/multipurpose assumptions</t>
  </si>
  <si>
    <t>Healthcare_Clinic</t>
  </si>
  <si>
    <t>clinic/exam/dental assumptions</t>
  </si>
  <si>
    <t>Healthcare_Emergency</t>
  </si>
  <si>
    <t>emergency department assumptions</t>
  </si>
  <si>
    <t>Healthcare_Imaging</t>
  </si>
  <si>
    <t>diagnostic imaging/radiology shielding assumptions</t>
  </si>
  <si>
    <t>Healthcare_OR_ICU</t>
  </si>
  <si>
    <t>OR/ICU/procedure/sterile assumptions</t>
  </si>
  <si>
    <t>Healthcare_Patient</t>
  </si>
  <si>
    <t>patient rooms/inpatient assumptions</t>
  </si>
  <si>
    <t>Heavy_Production</t>
  </si>
  <si>
    <t>heavy production/automotive/process assumptions</t>
  </si>
  <si>
    <t>Hotel_Guestroom</t>
  </si>
  <si>
    <t>hotel guestroom/residential unit assumptions</t>
  </si>
  <si>
    <t>IT_MEP</t>
  </si>
  <si>
    <t>MEP/utility/electrical/mechanical assumptions</t>
  </si>
  <si>
    <t>Kitchen_Service</t>
  </si>
  <si>
    <t>kitchen/cookline/back-of-house food preparation</t>
  </si>
  <si>
    <t>Lab</t>
  </si>
  <si>
    <t>lab/R&amp;D/QC/test assumptions</t>
  </si>
  <si>
    <t>Library</t>
  </si>
  <si>
    <t>library/study/media assumptions</t>
  </si>
  <si>
    <t>Light_Assembly</t>
  </si>
  <si>
    <t>light assembly/shipping assumptions</t>
  </si>
  <si>
    <t>Lobby_Public</t>
  </si>
  <si>
    <t>lobby/public/common area assumptions</t>
  </si>
  <si>
    <t>Meeting</t>
  </si>
  <si>
    <t>meeting/classroom/conference assumptions</t>
  </si>
  <si>
    <t>Museum_Gallery</t>
  </si>
  <si>
    <t>museum/gallery/exhibit assumptions</t>
  </si>
  <si>
    <t>Office_Dense</t>
  </si>
  <si>
    <t>dense workstation/call-center assumptions</t>
  </si>
  <si>
    <t>Office_Open</t>
  </si>
  <si>
    <t>open office/benching assumptions</t>
  </si>
  <si>
    <t>Office_Private</t>
  </si>
  <si>
    <t>private offices/focus rooms</t>
  </si>
  <si>
    <t>Parking</t>
  </si>
  <si>
    <t>parking deck/open bay assumptions</t>
  </si>
  <si>
    <t>Port_Cargo</t>
  </si>
  <si>
    <t>port/cargo/dock assumptions</t>
  </si>
  <si>
    <t>Power_Cooling</t>
  </si>
  <si>
    <t>power/cooling/UPS/mechanical rooms</t>
  </si>
  <si>
    <t>Public_Seating</t>
  </si>
  <si>
    <t>stadium/arena seating bowl/event floor assumptions</t>
  </si>
  <si>
    <t>Residential_Living</t>
  </si>
  <si>
    <t>residential living/bedroom assumptions</t>
  </si>
  <si>
    <t>Retail_Sales</t>
  </si>
  <si>
    <t>retail sales/showroom/check-out assumptions</t>
  </si>
  <si>
    <t>Secure_Government</t>
  </si>
  <si>
    <t>secure/government restricted area assumptions</t>
  </si>
  <si>
    <t>Security_Screening</t>
  </si>
  <si>
    <t>security/check-in screening assumptions</t>
  </si>
  <si>
    <t>Storage</t>
  </si>
  <si>
    <t>storage/inventory/parts assumptions</t>
  </si>
  <si>
    <t>Warehouse</t>
  </si>
  <si>
    <t>warehouse/racking/dock assumptions</t>
  </si>
  <si>
    <t>Workshop</t>
  </si>
  <si>
    <t>maintenance/workshop/tooling assumptions</t>
  </si>
  <si>
    <t>Worship_Hall</t>
  </si>
  <si>
    <t>sanctuary/prayer hall assumptions</t>
  </si>
  <si>
    <t>Sub_Type_A</t>
  </si>
  <si>
    <t>Total Loss</t>
  </si>
  <si>
    <t>Cooling / Mechanical</t>
  </si>
  <si>
    <t>Power / UPS / Electrical Rooms</t>
  </si>
  <si>
    <t>Cooling / Mechanical Rooms</t>
  </si>
  <si>
    <t>Mechanical / Cooling</t>
  </si>
  <si>
    <t>Cooling</t>
  </si>
  <si>
    <t>Power / UPS</t>
  </si>
  <si>
    <t>Support / IT / Server Room</t>
  </si>
  <si>
    <t>IT Equipment / Racks</t>
  </si>
  <si>
    <t>Hot / Cold Aisles</t>
  </si>
  <si>
    <t>Network / Telecom Area</t>
  </si>
  <si>
    <t>White Space / Data Hall</t>
  </si>
  <si>
    <t>Network / MDF / Meet-Me Room</t>
  </si>
  <si>
    <t>Data Halls</t>
  </si>
  <si>
    <t>Network / Core / MDF</t>
  </si>
  <si>
    <t>Equipment / Racks</t>
  </si>
  <si>
    <t>Cable Management / Pathways</t>
  </si>
  <si>
    <t>MDF / IDF Equipment</t>
  </si>
  <si>
    <t>Cable Tray / Pathways</t>
  </si>
  <si>
    <t>Work Clearance</t>
  </si>
  <si>
    <t>Subfab / Utility Chase</t>
  </si>
  <si>
    <t>Input_Order</t>
  </si>
  <si>
    <t>Concrete_%</t>
  </si>
  <si>
    <t>Drywall_%</t>
  </si>
  <si>
    <t>Glass_%</t>
  </si>
  <si>
    <t>Metal_%</t>
  </si>
  <si>
    <t>Open_Area_%</t>
  </si>
  <si>
    <t>Light_Clutter_%</t>
  </si>
  <si>
    <t>Medium_Clutter_%</t>
  </si>
  <si>
    <t>Dense_Clutter_%</t>
  </si>
  <si>
    <t>Ceiling_Height_Class</t>
  </si>
  <si>
    <t>Environment_Type</t>
  </si>
  <si>
    <t>Layout_Complexity</t>
  </si>
  <si>
    <t>Mobility_Pattern</t>
  </si>
  <si>
    <t>Total Losses Material</t>
  </si>
  <si>
    <t>Total Loss Density</t>
  </si>
  <si>
    <t>Assumption_Basis</t>
  </si>
  <si>
    <t>Open Work Area / Benching</t>
  </si>
  <si>
    <t>Medium_12_18ft</t>
  </si>
  <si>
    <t>Indoor_Conditioned</t>
  </si>
  <si>
    <t>Moderate</t>
  </si>
  <si>
    <t>Low_Mobility</t>
  </si>
  <si>
    <t>Private / Focus Rooms</t>
  </si>
  <si>
    <t>Meeting / Conference Rooms</t>
  </si>
  <si>
    <t>Moderate_Mobility</t>
  </si>
  <si>
    <t>Collaboration / Common Area</t>
  </si>
  <si>
    <t>Simple</t>
  </si>
  <si>
    <t>High_Mobility</t>
  </si>
  <si>
    <t>Lobby / Reception</t>
  </si>
  <si>
    <t>Breakroom / Pantry</t>
  </si>
  <si>
    <t>Support / Storage / IT</t>
  </si>
  <si>
    <t>Low_8_12ft</t>
  </si>
  <si>
    <t>Indoor_Industrial</t>
  </si>
  <si>
    <t>Complex</t>
  </si>
  <si>
    <t>Static</t>
  </si>
  <si>
    <t>Circulation / Corridors</t>
  </si>
  <si>
    <t>Cubicle Work Area</t>
  </si>
  <si>
    <t>Private Offices</t>
  </si>
  <si>
    <t>Common / Collaboration Area</t>
  </si>
  <si>
    <t>Dense Workstation / Benching Area</t>
  </si>
  <si>
    <t>Meeting / Huddle Rooms</t>
  </si>
  <si>
    <t>Phone / Focus Rooms</t>
  </si>
  <si>
    <t>Private Executive Offices</t>
  </si>
  <si>
    <t>Open Admin / Staff Area</t>
  </si>
  <si>
    <t>Boardroom / Conference Rooms</t>
  </si>
  <si>
    <t>Reception / Lobby</t>
  </si>
  <si>
    <t>Executive Lounge / Amenities</t>
  </si>
  <si>
    <t>Office / Engineering Work Area</t>
  </si>
  <si>
    <t>Lab / R&amp;D Space</t>
  </si>
  <si>
    <t>Indoor_Lab</t>
  </si>
  <si>
    <t>Meeting / Collaboration Rooms</t>
  </si>
  <si>
    <t>Lab Support / Storage</t>
  </si>
  <si>
    <t>Lobby / Common Area</t>
  </si>
  <si>
    <t>IT / MEP / Utility</t>
  </si>
  <si>
    <t>Office / Admin Area</t>
  </si>
  <si>
    <t>Warehouse / Storage Area</t>
  </si>
  <si>
    <t>High_18_30ft</t>
  </si>
  <si>
    <t>Light Assembly / Shipping</t>
  </si>
  <si>
    <t>Mixed_Mobility</t>
  </si>
  <si>
    <t>Support / IT / MEP</t>
  </si>
  <si>
    <t>Circulation / Staging</t>
  </si>
  <si>
    <t>Agent Floor / Workstations</t>
  </si>
  <si>
    <t>Indoor_Healthcare</t>
  </si>
  <si>
    <t>Very_Complex</t>
  </si>
  <si>
    <t>Supervisor / Admin Area</t>
  </si>
  <si>
    <t>Training / Meeting Rooms</t>
  </si>
  <si>
    <t>Very_High_30ft_plus</t>
  </si>
  <si>
    <t>Indoor_Transportation</t>
  </si>
  <si>
    <t>Break / Wellness Area</t>
  </si>
  <si>
    <t>Indoor_Data_Center</t>
  </si>
  <si>
    <t>R&amp;D Lab Area</t>
  </si>
  <si>
    <t>Prototype / Workshop Area</t>
  </si>
  <si>
    <t>Storage / Parts Area</t>
  </si>
  <si>
    <t>Main Production Floor</t>
  </si>
  <si>
    <t>Large Equipment / Process Areas</t>
  </si>
  <si>
    <t>Material Staging</t>
  </si>
  <si>
    <t>Maintenance / Workshop</t>
  </si>
  <si>
    <t>Warehouse / Storage</t>
  </si>
  <si>
    <t>Offices / Control Rooms</t>
  </si>
  <si>
    <t>Utilities / MEP</t>
  </si>
  <si>
    <t>Production Floor</t>
  </si>
  <si>
    <t>Assembly / Work Cells</t>
  </si>
  <si>
    <t>QC / Test Lab</t>
  </si>
  <si>
    <t>Offices / Admin</t>
  </si>
  <si>
    <t>Break / Support Areas</t>
  </si>
  <si>
    <t>Assembly Line Area</t>
  </si>
  <si>
    <t>Material Kitting / Staging</t>
  </si>
  <si>
    <t>QC / Test Area</t>
  </si>
  <si>
    <t>Maintenance / MEP</t>
  </si>
  <si>
    <t>Bulk Storage / Racking</t>
  </si>
  <si>
    <t>Receiving / Shipping Dock</t>
  </si>
  <si>
    <t>Pick / Pack Area</t>
  </si>
  <si>
    <t>Office / Admin</t>
  </si>
  <si>
    <t>MEP / IT</t>
  </si>
  <si>
    <t>Racking / Storage</t>
  </si>
  <si>
    <t>Pick / Pack / Sortation</t>
  </si>
  <si>
    <t>Shipping / Receiving Docks</t>
  </si>
  <si>
    <t>Conveyor / Automation Area</t>
  </si>
  <si>
    <t>MEP / IT / Maintenance</t>
  </si>
  <si>
    <t>Production / Assembly Area</t>
  </si>
  <si>
    <t>Body / Paint / Process Area</t>
  </si>
  <si>
    <t>Material / AGV / Staging</t>
  </si>
  <si>
    <t>Warehouse / Parts Storage</t>
  </si>
  <si>
    <t>Cleanroom Process Bay</t>
  </si>
  <si>
    <t>Indoor_Cleanroom</t>
  </si>
  <si>
    <t>Gowning / Airlocks / Support</t>
  </si>
  <si>
    <t>Metrology / Lab Area</t>
  </si>
  <si>
    <t>Chemical / Gas / Mechanical</t>
  </si>
  <si>
    <t>Warehouse / Materials</t>
  </si>
  <si>
    <t>Cleanroom Production Area</t>
  </si>
  <si>
    <t>Gowning / Airlocks</t>
  </si>
  <si>
    <t>Support Lab / QC</t>
  </si>
  <si>
    <t>Packaging Area</t>
  </si>
  <si>
    <t>MEP / Utility Chase</t>
  </si>
  <si>
    <t>Storage / Materials</t>
  </si>
  <si>
    <t>Equipment / Process Hall</t>
  </si>
  <si>
    <t>Control Room</t>
  </si>
  <si>
    <t>Electrical / Switchgear Rooms</t>
  </si>
  <si>
    <t>Mechanical / Boiler / Pump Areas</t>
  </si>
  <si>
    <t>Maintenance Workshop</t>
  </si>
  <si>
    <t>Storage / Spares</t>
  </si>
  <si>
    <t>Work Bays / Shop Floor</t>
  </si>
  <si>
    <t>Tool / Equipment Storage</t>
  </si>
  <si>
    <t>Parts / Inventory</t>
  </si>
  <si>
    <t>MEP / Utility</t>
  </si>
  <si>
    <t>Hospital Inpatient / Patient Rooms</t>
  </si>
  <si>
    <t>Hospital OR / ICU / Critical Care</t>
  </si>
  <si>
    <t>Medical Office / Clinic</t>
  </si>
  <si>
    <t>Dental / Orthodontic Clinic</t>
  </si>
  <si>
    <t>Diagnostic Imaging / Radiology</t>
  </si>
  <si>
    <t>Pharmacy / Medical Lab</t>
  </si>
  <si>
    <t>Emergency Department</t>
  </si>
  <si>
    <t>Hospital Lobby / Public Area</t>
  </si>
  <si>
    <t>Rehab / Treatment Area</t>
  </si>
  <si>
    <t>Admin / Staff / Support</t>
  </si>
  <si>
    <t>Exam / Patient Rooms</t>
  </si>
  <si>
    <t>Medical Office / Admin</t>
  </si>
  <si>
    <t>Waiting / Lobby</t>
  </si>
  <si>
    <t>Procedure / Treatment Rooms</t>
  </si>
  <si>
    <t>Lab / Pharmacy Point-of-Care</t>
  </si>
  <si>
    <t>Dental / Ancillary Area</t>
  </si>
  <si>
    <t>Support / Storage / MEP</t>
  </si>
  <si>
    <t>Imaging Rooms / Modality Suites</t>
  </si>
  <si>
    <t>Control / Equipment Rooms</t>
  </si>
  <si>
    <t>Waiting / Reception</t>
  </si>
  <si>
    <t>Changing / Prep Rooms</t>
  </si>
  <si>
    <t>Physician / Admin Offices</t>
  </si>
  <si>
    <t>Support / IT / Mechanical</t>
  </si>
  <si>
    <t>Lab Processing Area</t>
  </si>
  <si>
    <t>Specimen Receiving</t>
  </si>
  <si>
    <t>Clean Storage / Supply</t>
  </si>
  <si>
    <t>Equipment / Cold Storage</t>
  </si>
  <si>
    <t>Waiting / Public Area</t>
  </si>
  <si>
    <t>MEP / Support</t>
  </si>
  <si>
    <t>OR / Procedure Rooms</t>
  </si>
  <si>
    <t>Pre-op / PACU</t>
  </si>
  <si>
    <t>Sterile Processing</t>
  </si>
  <si>
    <t>Clinic / Consult Rooms</t>
  </si>
  <si>
    <t>Pharmacy / Lab</t>
  </si>
  <si>
    <t>Staff / Admin / Support</t>
  </si>
  <si>
    <t>Dispensing / Retail Area</t>
  </si>
  <si>
    <t>Indoor_Retail</t>
  </si>
  <si>
    <t>Compounding / Lab Area</t>
  </si>
  <si>
    <t>Storage / Inventory</t>
  </si>
  <si>
    <t>Waiting / Consultation Area</t>
  </si>
  <si>
    <t>Shipping / Receiving</t>
  </si>
  <si>
    <t>Support / MEP</t>
  </si>
  <si>
    <t>Classrooms</t>
  </si>
  <si>
    <t>Indoor_Education</t>
  </si>
  <si>
    <t>Admin / Offices</t>
  </si>
  <si>
    <t>Gymnasium</t>
  </si>
  <si>
    <t>Indoor_Public_Venue</t>
  </si>
  <si>
    <t>Cafeteria</t>
  </si>
  <si>
    <t>Library / Media Center</t>
  </si>
  <si>
    <t>Labs / Art / Music Rooms</t>
  </si>
  <si>
    <t>Auditorium / Multipurpose</t>
  </si>
  <si>
    <t>Corridors / Support</t>
  </si>
  <si>
    <t>Lecture Halls</t>
  </si>
  <si>
    <t>Faculty / Admin Offices</t>
  </si>
  <si>
    <t>Labs / Studios</t>
  </si>
  <si>
    <t>Library / Study Area</t>
  </si>
  <si>
    <t>Student / Common Area</t>
  </si>
  <si>
    <t>Support / Circulation</t>
  </si>
  <si>
    <t>Research Labs</t>
  </si>
  <si>
    <t>Offices / Write-up Area</t>
  </si>
  <si>
    <t>Meeting / Classroom</t>
  </si>
  <si>
    <t>Cleanroom / Special Labs</t>
  </si>
  <si>
    <t>Book Stacks</t>
  </si>
  <si>
    <t>Reading / Study Areas</t>
  </si>
  <si>
    <t>Computer / Media Rooms</t>
  </si>
  <si>
    <t>Meeting / Classrooms</t>
  </si>
  <si>
    <t>Lobby / Cafe</t>
  </si>
  <si>
    <t>Support / Storage</t>
  </si>
  <si>
    <t>Seating / Audience Hall</t>
  </si>
  <si>
    <t>Stage / Backstage</t>
  </si>
  <si>
    <t>Lobby / Pre-function</t>
  </si>
  <si>
    <t>Control / AV Room</t>
  </si>
  <si>
    <t>Dressing / Green Rooms</t>
  </si>
  <si>
    <t>Dining / Food Court</t>
  </si>
  <si>
    <t>Lounge / Common Area</t>
  </si>
  <si>
    <t>Meeting / Event Rooms</t>
  </si>
  <si>
    <t>Student Services / Offices</t>
  </si>
  <si>
    <t>Retail / Bookstore</t>
  </si>
  <si>
    <t>Recreation / Games</t>
  </si>
  <si>
    <t>Support / Back-of-House</t>
  </si>
  <si>
    <t>Gym / Court / Field House</t>
  </si>
  <si>
    <t>Locker Rooms</t>
  </si>
  <si>
    <t>Indoor_Residential</t>
  </si>
  <si>
    <t>Fitness / Training Area</t>
  </si>
  <si>
    <t>Spectator / Seating</t>
  </si>
  <si>
    <t>Offices</t>
  </si>
  <si>
    <t>Storage / Equipment</t>
  </si>
  <si>
    <t>Lobby / Support</t>
  </si>
  <si>
    <t>Inline Retail Stores</t>
  </si>
  <si>
    <t>Common Corridors / Atrium</t>
  </si>
  <si>
    <t>Food Court / Restaurants</t>
  </si>
  <si>
    <t>Anchor Stores</t>
  </si>
  <si>
    <t>Back-of-House / Loading</t>
  </si>
  <si>
    <t>Admin / Security / MEP</t>
  </si>
  <si>
    <t>Sales Floor</t>
  </si>
  <si>
    <t>Stockroom / Warehouse</t>
  </si>
  <si>
    <t>Checkout / Front End</t>
  </si>
  <si>
    <t>Receiving / Loading</t>
  </si>
  <si>
    <t>Sales Floor / Aisles</t>
  </si>
  <si>
    <t>Refrigerated / Frozen Areas</t>
  </si>
  <si>
    <t>Stockroom / Backroom</t>
  </si>
  <si>
    <t>Deli / Bakery / Prepared Food</t>
  </si>
  <si>
    <t>Loading / MEP</t>
  </si>
  <si>
    <t>Stockroom</t>
  </si>
  <si>
    <t>Checkout / Service Counter</t>
  </si>
  <si>
    <t>Back-of-House / MEP</t>
  </si>
  <si>
    <t>Dining Area</t>
  </si>
  <si>
    <t>Kitchen / Cookline</t>
  </si>
  <si>
    <t>Bar / Counter Area</t>
  </si>
  <si>
    <t>Waiting / Entry</t>
  </si>
  <si>
    <t>Storage / Walk-in</t>
  </si>
  <si>
    <t>Office / Staff / MEP</t>
  </si>
  <si>
    <t>Seating / Common Dining</t>
  </si>
  <si>
    <t>Vendor Kitchens / Stalls</t>
  </si>
  <si>
    <t>Queue / Service Area</t>
  </si>
  <si>
    <t>Storage / Janitor</t>
  </si>
  <si>
    <t>Circulation</t>
  </si>
  <si>
    <t>Display / Showroom Area</t>
  </si>
  <si>
    <t>Sales Offices</t>
  </si>
  <si>
    <t>Customer Lounge</t>
  </si>
  <si>
    <t>Service / Prep Area</t>
  </si>
  <si>
    <t>Guestrooms</t>
  </si>
  <si>
    <t>Indoor_Hospitality</t>
  </si>
  <si>
    <t>Lobby / Public Area</t>
  </si>
  <si>
    <t>Restaurant / Bar</t>
  </si>
  <si>
    <t>Back-of-House / Housekeeping</t>
  </si>
  <si>
    <t>Fitness / Amenities</t>
  </si>
  <si>
    <t>Guestrooms / Villas</t>
  </si>
  <si>
    <t>Conference / Event Area</t>
  </si>
  <si>
    <t>Spa / Fitness / Amenities</t>
  </si>
  <si>
    <t>Back-of-House</t>
  </si>
  <si>
    <t>Admin / Support</t>
  </si>
  <si>
    <t>Retail / Recreation</t>
  </si>
  <si>
    <t>Exhibit Hall</t>
  </si>
  <si>
    <t>Meeting / Breakout Rooms</t>
  </si>
  <si>
    <t>Pre-function / Lobby</t>
  </si>
  <si>
    <t>Ballroom / Event Area</t>
  </si>
  <si>
    <t>Banquet / Event Hall</t>
  </si>
  <si>
    <t>Kitchen / Catering</t>
  </si>
  <si>
    <t>Storage / Service</t>
  </si>
  <si>
    <t>Restrooms / Support</t>
  </si>
  <si>
    <t>Pre-function / Lounge</t>
  </si>
  <si>
    <t>Training / Classrooms</t>
  </si>
  <si>
    <t>Food Service / Pantry</t>
  </si>
  <si>
    <t>AV / IT Support</t>
  </si>
  <si>
    <t>Storage / MEP</t>
  </si>
  <si>
    <t>Ticketing / Check-in</t>
  </si>
  <si>
    <t>Security Screening</t>
  </si>
  <si>
    <t>Holdrooms / Gates</t>
  </si>
  <si>
    <t>Concourses / Circulation</t>
  </si>
  <si>
    <t>Retail / Food</t>
  </si>
  <si>
    <t>Baggage Claim / Handling</t>
  </si>
  <si>
    <t>Platforms / Concourse</t>
  </si>
  <si>
    <t>Ticketing / Waiting Area</t>
  </si>
  <si>
    <t>Offices / Operations</t>
  </si>
  <si>
    <t>Baggage / Storage</t>
  </si>
  <si>
    <t>Circulation / Public Area</t>
  </si>
  <si>
    <t>Waiting / Concourse</t>
  </si>
  <si>
    <t>Ticketing / Service Area</t>
  </si>
  <si>
    <t>Bus Bays / Platform Interface</t>
  </si>
  <si>
    <t>Storage / Maintenance</t>
  </si>
  <si>
    <t>Warehouse / Cargo Shed</t>
  </si>
  <si>
    <t>Dock / Loading Support</t>
  </si>
  <si>
    <t>Customs / Security</t>
  </si>
  <si>
    <t>Equipment / Maintenance</t>
  </si>
  <si>
    <t>Public / Waiting Area</t>
  </si>
  <si>
    <t>Parking Deck / Open Bays</t>
  </si>
  <si>
    <t>Outdoor_Covered</t>
  </si>
  <si>
    <t>Ramps / Drive Aisles</t>
  </si>
  <si>
    <t>Stair / Elevator Cores</t>
  </si>
  <si>
    <t>Office / Booth</t>
  </si>
  <si>
    <t>Sortation / Conveyor Area</t>
  </si>
  <si>
    <t>Warehouse / Staging</t>
  </si>
  <si>
    <t>Loading Docks</t>
  </si>
  <si>
    <t>Offices / Dispatch</t>
  </si>
  <si>
    <t>Driver / Break Area</t>
  </si>
  <si>
    <t>UPS / Power Area</t>
  </si>
  <si>
    <t>Operations / Admin</t>
  </si>
  <si>
    <t>Storage / Staging</t>
  </si>
  <si>
    <t>Security / Support</t>
  </si>
  <si>
    <t>Electrical / Power Rooms</t>
  </si>
  <si>
    <t>Loading / Staging</t>
  </si>
  <si>
    <t>Operations / Security / Admin</t>
  </si>
  <si>
    <t>Support</t>
  </si>
  <si>
    <t>Power / Battery</t>
  </si>
  <si>
    <t>Work / Access Clearance</t>
  </si>
  <si>
    <t>Storage / Support</t>
  </si>
  <si>
    <t>Living / Common Area</t>
  </si>
  <si>
    <t>Bedrooms</t>
  </si>
  <si>
    <t>Kitchen / Dining</t>
  </si>
  <si>
    <t>Bathrooms</t>
  </si>
  <si>
    <t>Garage / Storage</t>
  </si>
  <si>
    <t>Utility / Mechanical</t>
  </si>
  <si>
    <t>Living / Bedroom Units</t>
  </si>
  <si>
    <t>Kitchen / Dining Areas</t>
  </si>
  <si>
    <t>Corridors / Common Areas</t>
  </si>
  <si>
    <t>Amenities / Leasing</t>
  </si>
  <si>
    <t>Residential Units</t>
  </si>
  <si>
    <t>Amenities</t>
  </si>
  <si>
    <t>Lobby</t>
  </si>
  <si>
    <t>Parking / Storage</t>
  </si>
  <si>
    <t>Corridors / Elevator Lobbies</t>
  </si>
  <si>
    <t>Main Lobby</t>
  </si>
  <si>
    <t>Parking / Service</t>
  </si>
  <si>
    <t>MEP / Mechanical</t>
  </si>
  <si>
    <t>Dorm Rooms</t>
  </si>
  <si>
    <t>Shared Bathrooms</t>
  </si>
  <si>
    <t>Study / Meeting Rooms</t>
  </si>
  <si>
    <t>Dining / Kitchenette</t>
  </si>
  <si>
    <t>Corridors / MEP</t>
  </si>
  <si>
    <t>Office Areas</t>
  </si>
  <si>
    <t>Retail Stores</t>
  </si>
  <si>
    <t>Food Service</t>
  </si>
  <si>
    <t>Storage / Loading</t>
  </si>
  <si>
    <t>Lab / R&amp;D Areas</t>
  </si>
  <si>
    <t>Meeting / Common Area</t>
  </si>
  <si>
    <t>Residential Lobby / Amenities</t>
  </si>
  <si>
    <t>Industrial / Production Area</t>
  </si>
  <si>
    <t>Office / Classroom Area</t>
  </si>
  <si>
    <t>Lab / R&amp;D Area</t>
  </si>
  <si>
    <t>Residential / Dorm Area</t>
  </si>
  <si>
    <t>Retail / Dining Area</t>
  </si>
  <si>
    <t>Recreation / Amenities</t>
  </si>
  <si>
    <t>Common / Circulation</t>
  </si>
  <si>
    <t>Seating Bowl</t>
  </si>
  <si>
    <t>Concourse</t>
  </si>
  <si>
    <t>Field / Playing Surface</t>
  </si>
  <si>
    <t>Suites / Clubs</t>
  </si>
  <si>
    <t>Restrooms / Concessions</t>
  </si>
  <si>
    <t>Back-of-House / Operations</t>
  </si>
  <si>
    <t>Event Floor</t>
  </si>
  <si>
    <t>Gallery / Exhibit Areas</t>
  </si>
  <si>
    <t>Lobby / Visitor Services</t>
  </si>
  <si>
    <t>Education / Classrooms</t>
  </si>
  <si>
    <t>Storage / Collections</t>
  </si>
  <si>
    <t>Retail / Cafe</t>
  </si>
  <si>
    <t>Sanctuary / Prayer Hall</t>
  </si>
  <si>
    <t>Lobby / Fellowship Area</t>
  </si>
  <si>
    <t>Classrooms / Meeting Rooms</t>
  </si>
  <si>
    <t>Kitchen / Food Service</t>
  </si>
  <si>
    <t>Public Service Counters / Lobby</t>
  </si>
  <si>
    <t>Meeting / Hearing Rooms</t>
  </si>
  <si>
    <t>Secure / Restricted Areas</t>
  </si>
  <si>
    <t>Records / Storage</t>
  </si>
  <si>
    <t>Multipurpose Rooms</t>
  </si>
  <si>
    <t>Gym / Recreation Area</t>
  </si>
  <si>
    <t>Material</t>
  </si>
  <si>
    <t>Representative Loss dB</t>
  </si>
  <si>
    <t>Density Class</t>
  </si>
  <si>
    <t>Concrete</t>
  </si>
  <si>
    <t>Open</t>
  </si>
  <si>
    <t>Drywall</t>
  </si>
  <si>
    <t>Light</t>
  </si>
  <si>
    <t>Glass</t>
  </si>
  <si>
    <t>Medium</t>
  </si>
  <si>
    <t>Metal</t>
  </si>
  <si>
    <t>Dense</t>
  </si>
  <si>
    <t>Method</t>
  </si>
  <si>
    <t>Description</t>
  </si>
  <si>
    <t>Weighted average of material percentages using representative dB values: Concrete=12, Drywall=4, Glass=3, Metal=18.</t>
  </si>
  <si>
    <t>Weighted average of clutter percentages using representative dB values: Open=1, Light=3, Medium=6, Dense=10.</t>
  </si>
  <si>
    <t>Total Losses Material + Total Loss Density. This is a planning-level RF difficulty/loss assumption, not a final iBwave calibrated wall object.</t>
  </si>
  <si>
    <t>Percent totals</t>
  </si>
  <si>
    <t>Material percentages and clutter percentages are normalized to 100% for every row.</t>
  </si>
  <si>
    <t>Calibration</t>
  </si>
  <si>
    <t>Tune the dB constants and assumptions using measured walk-test / iBwave design outcomes for your portfolio.</t>
  </si>
  <si>
    <t>Column1</t>
  </si>
  <si>
    <t>Representative Loss dB2</t>
  </si>
  <si>
    <t>Row_ID</t>
  </si>
  <si>
    <t>Building_Type</t>
  </si>
  <si>
    <t>Category</t>
  </si>
  <si>
    <t>Office</t>
  </si>
  <si>
    <t>Open_Office</t>
  </si>
  <si>
    <t>Cubicle_Office</t>
  </si>
  <si>
    <t>High_Density_Office</t>
  </si>
  <si>
    <t>Executive_Office</t>
  </si>
  <si>
    <t>Office_With_Lab</t>
  </si>
  <si>
    <t>Office_With_Warehouse</t>
  </si>
  <si>
    <t>Call_Center</t>
  </si>
  <si>
    <t>R&amp;D_Office</t>
  </si>
  <si>
    <t>Industrial</t>
  </si>
  <si>
    <t>Heavy_Manufacturing</t>
  </si>
  <si>
    <t>Light_Manufacturing</t>
  </si>
  <si>
    <t>Assembly_Line</t>
  </si>
  <si>
    <t>Distribution_Center</t>
  </si>
  <si>
    <t>Automotive_Production</t>
  </si>
  <si>
    <t>Semiconductor_Fab</t>
  </si>
  <si>
    <t>Clean_Room_Production</t>
  </si>
  <si>
    <t>Utility_Plant</t>
  </si>
  <si>
    <t>Healthcare</t>
  </si>
  <si>
    <t>General_Hospital</t>
  </si>
  <si>
    <t>Specialty_Hospital</t>
  </si>
  <si>
    <t>Clinic</t>
  </si>
  <si>
    <t>Imaging_Center</t>
  </si>
  <si>
    <t>Medical_Lab</t>
  </si>
  <si>
    <t>Surgical_Center</t>
  </si>
  <si>
    <t>Pharmacy_Facility</t>
  </si>
  <si>
    <t>Education</t>
  </si>
  <si>
    <t>School</t>
  </si>
  <si>
    <t>University_Academic</t>
  </si>
  <si>
    <t>Research_Lab</t>
  </si>
  <si>
    <t>Auditorium</t>
  </si>
  <si>
    <t>Student_Center</t>
  </si>
  <si>
    <t>Sports_Facility</t>
  </si>
  <si>
    <t>Retail</t>
  </si>
  <si>
    <t>Mall</t>
  </si>
  <si>
    <t>Big_Box_Retail</t>
  </si>
  <si>
    <t>Grocery_Store</t>
  </si>
  <si>
    <t>Small_Retail</t>
  </si>
  <si>
    <t>Restaurant</t>
  </si>
  <si>
    <t>Food_Court</t>
  </si>
  <si>
    <t>Showroom</t>
  </si>
  <si>
    <t>Hospitality</t>
  </si>
  <si>
    <t>Hotel</t>
  </si>
  <si>
    <t>Resort</t>
  </si>
  <si>
    <t>Convention_Center</t>
  </si>
  <si>
    <t>Banquet_Hall</t>
  </si>
  <si>
    <t>Conference_Facility</t>
  </si>
  <si>
    <t>Transportation</t>
  </si>
  <si>
    <t>Airport_Terminal</t>
  </si>
  <si>
    <t>Train_Station</t>
  </si>
  <si>
    <t>Bus_Terminal</t>
  </si>
  <si>
    <t>Port_Facility</t>
  </si>
  <si>
    <t>Parking_Garage</t>
  </si>
  <si>
    <t>Logistics_Hub</t>
  </si>
  <si>
    <t>Server_Room</t>
  </si>
  <si>
    <t>Enterprise_Data_Center</t>
  </si>
  <si>
    <t>Hyperscale_Data_Center</t>
  </si>
  <si>
    <t>Telecom_Room</t>
  </si>
  <si>
    <t>MDF_IDF_Facility</t>
  </si>
  <si>
    <t>Residential</t>
  </si>
  <si>
    <t>Single_Family</t>
  </si>
  <si>
    <t>Apartment</t>
  </si>
  <si>
    <t>Condominium</t>
  </si>
  <si>
    <t>High_Rise_Residential</t>
  </si>
  <si>
    <t>Dormitory</t>
  </si>
  <si>
    <t>Mixed_Use</t>
  </si>
  <si>
    <t>Office_Retail_Mix</t>
  </si>
  <si>
    <t>Office_Lab_Mix</t>
  </si>
  <si>
    <t>Residential_Retail_Mix</t>
  </si>
  <si>
    <t>Industrial_Office_Mix</t>
  </si>
  <si>
    <t>Campus_Mix</t>
  </si>
  <si>
    <t>Public_Venue</t>
  </si>
  <si>
    <t>Stadium</t>
  </si>
  <si>
    <t>Arena</t>
  </si>
  <si>
    <t>Museum</t>
  </si>
  <si>
    <t>Worship_Facility</t>
  </si>
  <si>
    <t>Government_Building</t>
  </si>
  <si>
    <t>Community_Center</t>
  </si>
  <si>
    <t>RF_Floorplan_Match_Notes</t>
  </si>
  <si>
    <t>Open/cubicle workstation area matches Open Office floor plan.</t>
  </si>
  <si>
    <t>Private offices, focus rooms, phone rooms, and boardrooms match private/professional office layouts.</t>
  </si>
  <si>
    <t>Common, meeting, pantry, lobby, and circulation spaces in office context map to Open Office.</t>
  </si>
  <si>
    <t>Office area without a specific match maps to Generic Commercial.</t>
  </si>
  <si>
    <t>High-density benching behaves closer to Call Center workstation density for RF planning.</t>
  </si>
  <si>
    <t>Executive meeting/reception/amenity areas resemble private/professional services offices.</t>
  </si>
  <si>
    <t>Collaboration, common, support, and engineering areas in a campus/R&amp;D context match Corporate Campus Office.</t>
  </si>
  <si>
    <t>Lab/R&amp;D/prototype zones match Industrial Lab/R&amp;D template more closely than pure office.</t>
  </si>
  <si>
    <t>Warehouse, storage, shipping, and staging portions match Bulk Warehouse/Cross-Dock behavior.</t>
  </si>
  <si>
    <t>Agent floor, supervisor, and training spaces match Call Center template.</t>
  </si>
  <si>
    <t>Rack, power, cooling, cable pathway, or MDF/IDF function maps to Data Center template.</t>
  </si>
  <si>
    <t>Storage-heavy zone best matches warehouse floor plan among available templates.</t>
  </si>
  <si>
    <t>Large equipment/process halls match heavy manufacturing floor plans.</t>
  </si>
  <si>
    <t>Pick/pack/sortation/conveyor/kitting/staging areas match distribution/fulfillment floor plans.</t>
  </si>
  <si>
    <t>Work bays, maintenance, tool, and parts areas map to MRO facility template.</t>
  </si>
  <si>
    <t>Warehouse/storage portions of the facility match Bulk Warehouse.</t>
  </si>
  <si>
    <t>MEP/electrical/mechanical/process utility areas resemble Utility/Energy Plant floor plans.</t>
  </si>
  <si>
    <t>Assembly, work cell, QC/test, and packaging areas map to light manufacturing/assembly.</t>
  </si>
  <si>
    <t>Control/admin areas inside industrial plants are closest to generic industrial support space.</t>
  </si>
  <si>
    <t>Industrial area without a more specific Sub_Type_B floor-plan match.</t>
  </si>
  <si>
    <t>Racking/storage-heavy areas match Bulk Warehouse template.</t>
  </si>
  <si>
    <t>Receiving, shipping, docks, and loading areas resemble cross-dock logistics layouts.</t>
  </si>
  <si>
    <t>Automotive production, body/paint, AGV, and process areas match Automotive/EV Factory.</t>
  </si>
  <si>
    <t>Cleanroom/subfab/metrology/gowning zones match semiconductor cleanroom template.</t>
  </si>
  <si>
    <t>Patient-room floor plan directly matches inpatient healthcare template.</t>
  </si>
  <si>
    <t>OR/ICU/PACU/sterile zones have similar high-support clinical layouts.</t>
  </si>
  <si>
    <t>Exam, consult, procedure, and rehab spaces match a clinic-style plan.</t>
  </si>
  <si>
    <t>Dental/ancillary chair-side spaces match Dental/Orthodontic Clinic template.</t>
  </si>
  <si>
    <t>Imaging rooms and equipment/control spaces map to radiology floor-plan type.</t>
  </si>
  <si>
    <t>Lab/pharmacy/compounding/specimen support areas share the medical lab/pharmacy floor-plan behavior.</t>
  </si>
  <si>
    <t>Emergency care zone directly matches Emergency Department template.</t>
  </si>
  <si>
    <t>Waiting/lobby/public healthcare areas match hospital public-area template.</t>
  </si>
  <si>
    <t>Healthcare support/admin/MEP space without a more specific clinical match.</t>
  </si>
  <si>
    <t>School-classroom category maps to K-12 Classrooms.</t>
  </si>
  <si>
    <t>Admin/faculty/student-service areas map to Administration Office.</t>
  </si>
  <si>
    <t>Athletic/open-court areas map to Gymnasium template.</t>
  </si>
  <si>
    <t>Dining, lounge, and student common spaces map to Cafeteria/Student Union.</t>
  </si>
  <si>
    <t>Stacks, reading, media, and study zones match Library template.</t>
  </si>
  <si>
    <t>Lab/studio/special lab spaces best match Science Lab template.</t>
  </si>
  <si>
    <t>Audience/stage/AV/backstage functions resemble Performing Arts/Auditorium.</t>
  </si>
  <si>
    <t>Education support/circulation/MEP area without a more specific room-type match.</t>
  </si>
  <si>
    <t>College/university classroom category maps to University/College Classrooms.</t>
  </si>
  <si>
    <t>Lecture seating floor plan directly maps to Lecture Hall.</t>
  </si>
  <si>
    <t>Bookstore/retail zones map to retail store template.</t>
  </si>
  <si>
    <t>Recreation/game zones are closer to Fitness/Gym than academic room templates.</t>
  </si>
  <si>
    <t>Inline and anchor store areas map to retail-store floor plans.</t>
  </si>
  <si>
    <t>Mall corridors, atrium, BOH, security, and MEP fit Shopping Mall as the broader template.</t>
  </si>
  <si>
    <t>Food court/restaurants map to restaurant/cafe/fast-food floor plans.</t>
  </si>
  <si>
    <t>Sales floor, stockroom, checkout, receiving, and support are all part of big-box retail template.</t>
  </si>
  <si>
    <t>Grocery aisles, refrigeration, deli/bakery, and backroom areas map to Supermarket/Grocery.</t>
  </si>
  <si>
    <t>Sales, checkout, stockroom, admin, and loading zones match retail store template.</t>
  </si>
  <si>
    <t>Retail category fallback maps to retail-store template.</t>
  </si>
  <si>
    <t>Dining, kitchen, queue, counter, and storage/walk-in areas match restaurant/cafe/fast-food.</t>
  </si>
  <si>
    <t>Showroom, sales, customer lounge, and prep areas fit retail-store floor-plan behavior.</t>
  </si>
  <si>
    <t>Guestroom/villa floors match Hotel Guestroom Floors.</t>
  </si>
  <si>
    <t>Hotel/resort lobby, admin, BOH, and support areas best match Hotel Lobby/Conference.</t>
  </si>
  <si>
    <t>Meeting, conference, training, AV/IT, lounge, and pre-function spaces map to Hotel Lobby/Conference.</t>
  </si>
  <si>
    <t>Restaurant, bar, kitchen, catering, and pantry areas map to food-service floor plans.</t>
  </si>
  <si>
    <t>Fitness/spa/amenity spaces map closest to Fitness Center/Gym among available templates.</t>
  </si>
  <si>
    <t>Banquet halls, ballrooms, pre-function, and service areas map to Banquet/Event Venue.</t>
  </si>
  <si>
    <t>Exhibit halls, breakout rooms, pre-function, BOH/loading, and support match convention-center template.</t>
  </si>
  <si>
    <t>Terminal concourses, gates, ticketing, and waiting areas resemble large public exhibit/convention halls for RF openness/crowd loading.</t>
  </si>
  <si>
    <t>Terminal retail/food zones are closest to food-service/retail floor plans.</t>
  </si>
  <si>
    <t>Cargo, dock, customs, loading, and port functions map to terminal logistics building.</t>
  </si>
  <si>
    <t>Operations/admin zones use commercial office-like floor-plan behavior.</t>
  </si>
  <si>
    <t>Maintenance/storage portions resemble MRO facility layouts.</t>
  </si>
  <si>
    <t>Parking/open-bay/ramp floor plan most closely matches Parking Garage.</t>
  </si>
  <si>
    <t>Parking decks/ramps/cores match Parking Garage.</t>
  </si>
  <si>
    <t>Sortation, conveyor, and staging areas match distribution/fulfillment templates.</t>
  </si>
  <si>
    <t>All data-center/telecom/MDF/IDF sub-areas map to Data Center as closest available template.</t>
  </si>
  <si>
    <t>Sub_Type_B has no pure residential template; dormitory/residence hall is closest for unit/corridor living layouts.</t>
  </si>
  <si>
    <t>No exact residential Sub_Type_B exists; generic support/MEP selected by function.</t>
  </si>
  <si>
    <t>Residential corridors/lobbies/amenities resemble residence-hall common areas.</t>
  </si>
  <si>
    <t>Dorm rooms, shared baths, lounges, and study rooms match Dormitory/Residence Hall.</t>
  </si>
  <si>
    <t>Office/classroom portions of mixed-use facilities match Corporate Campus Office.</t>
  </si>
  <si>
    <t>Retail stores in mixed-use properties map to retail-store template.</t>
  </si>
  <si>
    <t>Mixed-use common/circulation spaces map to Generic Commercial as a neutral template.</t>
  </si>
  <si>
    <t>Dining/food-service portions match restaurant/cafe floor plans.</t>
  </si>
  <si>
    <t>Warehouse/storage areas map to Bulk Warehouse.</t>
  </si>
  <si>
    <t>Mixed-use area without a specific match maps to Generic Commercial.</t>
  </si>
  <si>
    <t>Lab/R&amp;D areas map to Industrial Lab/R&amp;D.</t>
  </si>
  <si>
    <t>No pure residential Sub_Type_B exists; dormitory/residence hall is closest.</t>
  </si>
  <si>
    <t>Industrial/production areas map to Factory/Works.</t>
  </si>
  <si>
    <t>Loading/staging areas resemble Cross-Dock Logistics.</t>
  </si>
  <si>
    <t>Recreation/amenity spaces map closest to Fitness/Gym.</t>
  </si>
  <si>
    <t>Seating bowl, field, suites/clubs, and stadium operations map to Stadium/Arena Bowl.</t>
  </si>
  <si>
    <t>Stadium concourse maps to Arena Concourse template.</t>
  </si>
  <si>
    <t>Arena bowl, event floor, suites/clubs, and operations map to Stadium/Arena Bowl.</t>
  </si>
  <si>
    <t>Arena concourse maps to Arena Concourse template.</t>
  </si>
  <si>
    <t>Gallery, exhibit, storage/collections, visitor services, and museum support map to Museum/Gallery.</t>
  </si>
  <si>
    <t>No worship-specific Sub_Type_B exists; sanctuary/prayer hall resembles theater/auditorium seating geometry.</t>
  </si>
  <si>
    <t>Fellowship/multipurpose rooms resemble banquet/event venue layouts.</t>
  </si>
  <si>
    <t>Classroom/education rooms map closest to K-12 Classrooms.</t>
  </si>
  <si>
    <t>Admin, public service counters, records, and secure office areas resemble professional office floor plans.</t>
  </si>
  <si>
    <t>Kitchen, concessions, retail/cafe, and food-service zones map to restaurant/cafe template.</t>
  </si>
  <si>
    <t>Venue support/BOH/MEP areas map to Generic Entertainment as broad public-venue template.</t>
  </si>
  <si>
    <t>Meeting/hearing rooms often resemble small auditorium/assembly layouts.</t>
  </si>
  <si>
    <t>Public lobby/common/circulation areas map to Generic Commercial unless venue-specific match exists.</t>
  </si>
  <si>
    <t>Gym/recreation areas match Fitness Center/Gym.</t>
  </si>
  <si>
    <t>Sub_Type_Area_%</t>
  </si>
  <si>
    <t>Matched_Sub_Type</t>
  </si>
  <si>
    <t>Match_Confidence</t>
  </si>
  <si>
    <t>Match_Basis</t>
  </si>
  <si>
    <t>Open Office</t>
  </si>
  <si>
    <t>High</t>
  </si>
  <si>
    <t>Open/cubicle office match</t>
  </si>
  <si>
    <t>Private Office / Professional Services</t>
  </si>
  <si>
    <t>Private-office match</t>
  </si>
  <si>
    <t>Medium-High</t>
  </si>
  <si>
    <t>Office support/common area match</t>
  </si>
  <si>
    <t>Generic Commercial</t>
  </si>
  <si>
    <t>Office fallback</t>
  </si>
  <si>
    <t>Call Center</t>
  </si>
  <si>
    <t>Dense workstation similarity</t>
  </si>
  <si>
    <t>Executive office context</t>
  </si>
  <si>
    <t>Corporate Campus Office</t>
  </si>
  <si>
    <t>Campus/support-office context</t>
  </si>
  <si>
    <t>Industrial Lab / R&amp;D</t>
  </si>
  <si>
    <t>Office-lab/R&amp;D functional match</t>
  </si>
  <si>
    <t>Bulk Warehouse</t>
  </si>
  <si>
    <t>Office-warehouse functional match</t>
  </si>
  <si>
    <t>Call-center category/function match</t>
  </si>
  <si>
    <t>Data Center</t>
  </si>
  <si>
    <t>Direct function match</t>
  </si>
  <si>
    <t>Storage functional match</t>
  </si>
  <si>
    <t>Heavy Manufacturing / Metal Shop</t>
  </si>
  <si>
    <t>Heavy manufacturing match</t>
  </si>
  <si>
    <t>Distribution Center / Fulfillment</t>
  </si>
  <si>
    <t>Fulfillment/process-flow match</t>
  </si>
  <si>
    <t>Maintenance / MRO Facility</t>
  </si>
  <si>
    <t>Direct maintenance/MRO match</t>
  </si>
  <si>
    <t>Industrial storage match</t>
  </si>
  <si>
    <t>Utility / Energy Plant</t>
  </si>
  <si>
    <t>Industrial support/utility match</t>
  </si>
  <si>
    <t>Light Manufacturing / Assembly</t>
  </si>
  <si>
    <t>Assembly/manufacturing match</t>
  </si>
  <si>
    <t>Generic Industrial</t>
  </si>
  <si>
    <t>Industrial support/admin fallback</t>
  </si>
  <si>
    <t>Industrial context fallback</t>
  </si>
  <si>
    <t>Direct warehouse/storage match</t>
  </si>
  <si>
    <t>Cross-Dock Logistics</t>
  </si>
  <si>
    <t>Dock/logistics match</t>
  </si>
  <si>
    <t>Automotive / EV Factory</t>
  </si>
  <si>
    <t>Automotive category/process match</t>
  </si>
  <si>
    <t>Electronics / Semiconductor Cleanroom</t>
  </si>
  <si>
    <t>Direct industrial cleanroom match</t>
  </si>
  <si>
    <t>Direct healthcare match</t>
  </si>
  <si>
    <t>Generic Healthcare</t>
  </si>
  <si>
    <t>Healthcare context fallback</t>
  </si>
  <si>
    <t>K-12 Classrooms</t>
  </si>
  <si>
    <t>Category + direct classroom match</t>
  </si>
  <si>
    <t>Administration Office</t>
  </si>
  <si>
    <t>Education admin match</t>
  </si>
  <si>
    <t>Direct education/athletic match</t>
  </si>
  <si>
    <t>Cafeteria / Student Union</t>
  </si>
  <si>
    <t>Direct student-life match</t>
  </si>
  <si>
    <t>Direct education match</t>
  </si>
  <si>
    <t>Science Lab</t>
  </si>
  <si>
    <t>Direct education/lab match</t>
  </si>
  <si>
    <t>Performing Arts / Auditorium</t>
  </si>
  <si>
    <t>Direct education/event match</t>
  </si>
  <si>
    <t>Generic Educational</t>
  </si>
  <si>
    <t>Education context fallback</t>
  </si>
  <si>
    <t>University / College Classrooms</t>
  </si>
  <si>
    <t>Lecture Hall</t>
  </si>
  <si>
    <t>Retail Store / Strip Retail</t>
  </si>
  <si>
    <t>Functional retail match</t>
  </si>
  <si>
    <t>Fitness Center / Gym</t>
  </si>
  <si>
    <t>Recreation functional match</t>
  </si>
  <si>
    <t>Retail store function within mall</t>
  </si>
  <si>
    <t>Shopping Mall</t>
  </si>
  <si>
    <t>Mall public/common match</t>
  </si>
  <si>
    <t>Restaurant / Cafe / Fast Food</t>
  </si>
  <si>
    <t>Food-service function within mall</t>
  </si>
  <si>
    <t>Big Box Retail</t>
  </si>
  <si>
    <t>Direct big-box retail match</t>
  </si>
  <si>
    <t>Supermarket / Grocery</t>
  </si>
  <si>
    <t>Direct grocery match</t>
  </si>
  <si>
    <t>Retail store match</t>
  </si>
  <si>
    <t>Retail fallback</t>
  </si>
  <si>
    <t>Direct food-service match</t>
  </si>
  <si>
    <t>Retail showroom match</t>
  </si>
  <si>
    <t>Hotel Guestroom Floors</t>
  </si>
  <si>
    <t>Direct hotel guestroom match</t>
  </si>
  <si>
    <t>Hotel Lobby / Conference</t>
  </si>
  <si>
    <t>Hospitality public/support match</t>
  </si>
  <si>
    <t>Direct hotel/conference match</t>
  </si>
  <si>
    <t>Hospitality food-service match</t>
  </si>
  <si>
    <t>Amenity/recreation match</t>
  </si>
  <si>
    <t>Banquet / Event Venue</t>
  </si>
  <si>
    <t>Direct banquet/event match</t>
  </si>
  <si>
    <t>Convention Center / Exhibit Hall</t>
  </si>
  <si>
    <t>Direct convention-center match</t>
  </si>
  <si>
    <t>Large public concourse similarity</t>
  </si>
  <si>
    <t>Public terminal food/retail match</t>
  </si>
  <si>
    <t>Port / Terminal Logistics Building</t>
  </si>
  <si>
    <t>Terminal/logistics match</t>
  </si>
  <si>
    <t>Operations/admin office match</t>
  </si>
  <si>
    <t>Maintenance function match</t>
  </si>
  <si>
    <t>Parking Garage</t>
  </si>
  <si>
    <t>Direct parking match</t>
  </si>
  <si>
    <t>Logistics/fulfillment match</t>
  </si>
  <si>
    <t>Data-center category match</t>
  </si>
  <si>
    <t>Dormitory / Residence Hall</t>
  </si>
  <si>
    <t>Closest residential analog</t>
  </si>
  <si>
    <t>Low-Medium</t>
  </si>
  <si>
    <t>Residential support fallback</t>
  </si>
  <si>
    <t>Residential common-area analog</t>
  </si>
  <si>
    <t>Direct dormitory match</t>
  </si>
  <si>
    <t>Mixed-use office/academic match</t>
  </si>
  <si>
    <t>Mixed-use retail match</t>
  </si>
  <si>
    <t>Mixed-use common/circulation match</t>
  </si>
  <si>
    <t>Mixed-use food-service match</t>
  </si>
  <si>
    <t>Storage/warehouse match</t>
  </si>
  <si>
    <t>Mixed-use fallback</t>
  </si>
  <si>
    <t>Mixed-use lab match</t>
  </si>
  <si>
    <t>Factory / Works</t>
  </si>
  <si>
    <t>Industrial/production match</t>
  </si>
  <si>
    <t>Loading/staging match</t>
  </si>
  <si>
    <t>Stadium / Arena Bowl</t>
  </si>
  <si>
    <t>Direct stadium match</t>
  </si>
  <si>
    <t>Arena Concourse</t>
  </si>
  <si>
    <t>Direct stadium concourse match</t>
  </si>
  <si>
    <t>Arena bowl/event-floor match</t>
  </si>
  <si>
    <t>Direct arena concourse match</t>
  </si>
  <si>
    <t>Museum / Gallery</t>
  </si>
  <si>
    <t>Direct museum/gallery match</t>
  </si>
  <si>
    <t>Theater / Auditorium</t>
  </si>
  <si>
    <t>Large assembly/seating analog</t>
  </si>
  <si>
    <t>Assembly/event hall analog</t>
  </si>
  <si>
    <t>Classroom functional match</t>
  </si>
  <si>
    <t>Public admin/office match</t>
  </si>
  <si>
    <t>Food-service match</t>
  </si>
  <si>
    <t>Generic Entertainment</t>
  </si>
  <si>
    <t>Venue support fallback</t>
  </si>
  <si>
    <t>Hearing-room seating analog</t>
  </si>
  <si>
    <t>Public common/circulation match</t>
  </si>
  <si>
    <t>Direct recreation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</si>
</sst>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UniqueAssumptionLibraryTable" displayName="UniqueAssumptionLibraryTable" ref="A1:S349">
  <tableColumns count="19">
    <tableColumn id="1" xr3:uid="{00000000-0010-0000-0300-000001000000}" name="Input_Order"/>
    <tableColumn id="2" xr3:uid="{00000000-0010-0000-0300-000002000000}" name="Sub_Type_A"/>
    <tableColumn id="3" xr3:uid="{00000000-0010-0000-0300-000003000000}" name="Concrete_%"/>
    <tableColumn id="4" xr3:uid="{00000000-0010-0000-0300-000004000000}" name="Drywall_%"/>
    <tableColumn id="5" xr3:uid="{00000000-0010-0000-0300-000005000000}" name="Glass_%"/>
    <tableColumn id="6" xr3:uid="{00000000-0010-0000-0300-000006000000}" name="Metal_%"/>
    <tableColumn id="7" xr3:uid="{00000000-0010-0000-0300-000007000000}" name="Open_Area_%"/>
    <tableColumn id="8" xr3:uid="{00000000-0010-0000-0300-000008000000}" name="Light_Clutter_%"/>
    <tableColumn id="9" xr3:uid="{00000000-0010-0000-0300-000009000000}" name="Medium_Clutter_%"/>
    <tableColumn id="10" xr3:uid="{00000000-0010-0000-0300-00000A000000}" name="Dense_Clutter_%"/>
    <tableColumn id="11" xr3:uid="{00000000-0010-0000-0300-00000B000000}" name="Ceiling_Height_Class"/>
    <tableColumn id="12" xr3:uid="{00000000-0010-0000-0300-00000C000000}" name="Environment_Type"/>
    <tableColumn id="13" xr3:uid="{00000000-0010-0000-0300-00000D000000}" name="Layout_Complexity"/>
    <tableColumn id="14" xr3:uid="{00000000-0010-0000-0300-00000E000000}" name="Mobility_Pattern"/>
    <tableColumn id="15" xr3:uid="{00000000-0010-0000-0300-00000F000000}" name="Total Losses Material"/>
    <tableColumn id="16" xr3:uid="{00000000-0010-0000-0300-000010000000}" name="Total Loss Density"/>
    <tableColumn id="17" xr3:uid="{00000000-0010-0000-0300-000011000000}" name="Total Loss"/>
    <tableColumn id="18" xr3:uid="{00000000-0010-0000-0300-000012000000}" name="Assumption_Profile"/>
    <tableColumn id="19" xr3:uid="{00000000-0010-0000-0300-000013000000}" name="Assumption_Bas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ossConstantsTable" displayName="LossConstantsTable" ref="A1:E5">
  <tableColumns count="5">
    <tableColumn id="1" xr3:uid="{00000000-0010-0000-0400-000001000000}" name="Material"/>
    <tableColumn id="2" xr3:uid="{00000000-0010-0000-0400-000002000000}" name="Representative Loss dB"/>
    <tableColumn id="3" xr3:uid="{00000000-0010-0000-0400-000003000000}" name="Column1"/>
    <tableColumn id="4" xr3:uid="{00000000-0010-0000-0400-000004000000}" name="Density Class"/>
    <tableColumn id="5" xr3:uid="{00000000-0010-0000-0400-000005000000}" name="Representative Loss dB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ethodNotesTable" displayName="MethodNotesTable" ref="A1:B6">
  <tableColumns count="2">
    <tableColumn id="1" xr3:uid="{00000000-0010-0000-0500-000001000000}" name="Method"/>
    <tableColumn id="2" xr3:uid="{00000000-0010-0000-05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49"/>
  <sheetViews>
    <sheetView workbookViewId="0">
      <selection activeCell="D24" sqref="D24"/>
    </sheetView>
  </sheetViews>
  <sheetFormatPr defaultRowHeight="14.25"/>
  <cols>
    <col min="1" max="1" width="11" customWidth="1"/>
    <col min="2" max="2" width="34" customWidth="1"/>
    <col min="3" max="10" width="12" customWidth="1"/>
    <col min="11" max="12" width="20" customWidth="1"/>
    <col min="13" max="13" width="17" customWidth="1"/>
    <col min="14" max="14" width="18" customWidth="1"/>
    <col min="15" max="17" width="16" customWidth="1"/>
    <col min="18" max="18" width="22" customWidth="1"/>
    <col min="19" max="19" width="38" customWidth="1"/>
  </cols>
  <sheetData>
    <row r="1" spans="1:19" ht="42" customHeight="1">
      <c r="A1" s="2" t="s">
        <v>117</v>
      </c>
      <c r="B1" s="2" t="s">
        <v>95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4" t="s">
        <v>130</v>
      </c>
      <c r="P1" s="4" t="s">
        <v>131</v>
      </c>
      <c r="Q1" s="4" t="s">
        <v>96</v>
      </c>
      <c r="R1" s="2" t="s">
        <v>0</v>
      </c>
      <c r="S1" s="2" t="s">
        <v>132</v>
      </c>
    </row>
    <row r="2" spans="1:19">
      <c r="A2">
        <v>1</v>
      </c>
      <c r="B2" t="s">
        <v>133</v>
      </c>
      <c r="C2">
        <v>10</v>
      </c>
      <c r="D2">
        <v>55</v>
      </c>
      <c r="E2">
        <v>25</v>
      </c>
      <c r="F2">
        <v>10</v>
      </c>
      <c r="G2">
        <v>55</v>
      </c>
      <c r="H2">
        <v>30</v>
      </c>
      <c r="I2">
        <v>12</v>
      </c>
      <c r="J2">
        <v>3</v>
      </c>
      <c r="K2" t="s">
        <v>134</v>
      </c>
      <c r="L2" t="s">
        <v>135</v>
      </c>
      <c r="M2" t="s">
        <v>136</v>
      </c>
      <c r="N2" t="s">
        <v>137</v>
      </c>
      <c r="O2">
        <f>ROUND(($C2*Loss_Constants!$B$2+$D2*Loss_Constants!$B$3+$E2*Loss_Constants!$B$4+$F2*Loss_Constants!$B$5)/100,1)</f>
        <v>6</v>
      </c>
      <c r="P2">
        <f>ROUND(($G2*Loss_Constants!$E$2+$H2*Loss_Constants!$E$3+$I2*Loss_Constants!$E$4+$J2*Loss_Constants!$E$5)/100,1)</f>
        <v>2.5</v>
      </c>
      <c r="Q2">
        <f t="shared" ref="Q2:Q65" si="0">ROUND(O2+P2,1)</f>
        <v>8.5</v>
      </c>
      <c r="R2" t="s">
        <v>67</v>
      </c>
      <c r="S2" t="s">
        <v>68</v>
      </c>
    </row>
    <row r="3" spans="1:19">
      <c r="A3">
        <v>2</v>
      </c>
      <c r="B3" t="s">
        <v>138</v>
      </c>
      <c r="C3">
        <v>15</v>
      </c>
      <c r="D3">
        <v>65</v>
      </c>
      <c r="E3">
        <v>10</v>
      </c>
      <c r="F3">
        <v>10</v>
      </c>
      <c r="G3">
        <v>25</v>
      </c>
      <c r="H3">
        <v>45</v>
      </c>
      <c r="I3">
        <v>25</v>
      </c>
      <c r="J3">
        <v>5</v>
      </c>
      <c r="K3" t="s">
        <v>134</v>
      </c>
      <c r="L3" t="s">
        <v>135</v>
      </c>
      <c r="M3" t="s">
        <v>136</v>
      </c>
      <c r="N3" t="s">
        <v>137</v>
      </c>
      <c r="O3">
        <f>ROUND(($C3*Loss_Constants!$B$2+$D3*Loss_Constants!$B$3+$E3*Loss_Constants!$B$4+$F3*Loss_Constants!$B$5)/100,1)</f>
        <v>6.5</v>
      </c>
      <c r="P3">
        <f>ROUND(($G3*Loss_Constants!$E$2+$H3*Loss_Constants!$E$3+$I3*Loss_Constants!$E$4+$J3*Loss_Constants!$E$5)/100,1)</f>
        <v>3.6</v>
      </c>
      <c r="Q3">
        <f t="shared" si="0"/>
        <v>10.1</v>
      </c>
      <c r="R3" t="s">
        <v>69</v>
      </c>
      <c r="S3" t="s">
        <v>70</v>
      </c>
    </row>
    <row r="4" spans="1:19">
      <c r="A4">
        <v>3</v>
      </c>
      <c r="B4" t="s">
        <v>139</v>
      </c>
      <c r="C4">
        <v>15</v>
      </c>
      <c r="D4">
        <v>55</v>
      </c>
      <c r="E4">
        <v>20</v>
      </c>
      <c r="F4">
        <v>10</v>
      </c>
      <c r="G4">
        <v>40</v>
      </c>
      <c r="H4">
        <v>40</v>
      </c>
      <c r="I4">
        <v>15</v>
      </c>
      <c r="J4">
        <v>5</v>
      </c>
      <c r="K4" t="s">
        <v>134</v>
      </c>
      <c r="L4" t="s">
        <v>135</v>
      </c>
      <c r="M4" t="s">
        <v>136</v>
      </c>
      <c r="N4" t="s">
        <v>140</v>
      </c>
      <c r="O4">
        <f>ROUND(($C4*Loss_Constants!$B$2+$D4*Loss_Constants!$B$3+$E4*Loss_Constants!$B$4+$F4*Loss_Constants!$B$5)/100,1)</f>
        <v>6.4</v>
      </c>
      <c r="P4">
        <f>ROUND(($G4*Loss_Constants!$E$2+$H4*Loss_Constants!$E$3+$I4*Loss_Constants!$E$4+$J4*Loss_Constants!$E$5)/100,1)</f>
        <v>3</v>
      </c>
      <c r="Q4">
        <f t="shared" si="0"/>
        <v>9.4</v>
      </c>
      <c r="R4" t="s">
        <v>61</v>
      </c>
      <c r="S4" t="s">
        <v>62</v>
      </c>
    </row>
    <row r="5" spans="1:19">
      <c r="A5">
        <v>4</v>
      </c>
      <c r="B5" t="s">
        <v>141</v>
      </c>
      <c r="C5">
        <v>20</v>
      </c>
      <c r="D5">
        <v>40</v>
      </c>
      <c r="E5">
        <v>30</v>
      </c>
      <c r="F5">
        <v>10</v>
      </c>
      <c r="G5">
        <v>60</v>
      </c>
      <c r="H5">
        <v>25</v>
      </c>
      <c r="I5">
        <v>10</v>
      </c>
      <c r="J5">
        <v>5</v>
      </c>
      <c r="K5" t="s">
        <v>134</v>
      </c>
      <c r="L5" t="s">
        <v>135</v>
      </c>
      <c r="M5" t="s">
        <v>142</v>
      </c>
      <c r="N5" t="s">
        <v>143</v>
      </c>
      <c r="O5">
        <f>ROUND(($C5*Loss_Constants!$B$2+$D5*Loss_Constants!$B$3+$E5*Loss_Constants!$B$4+$F5*Loss_Constants!$B$5)/100,1)</f>
        <v>6.7</v>
      </c>
      <c r="P5">
        <f>ROUND(($G5*Loss_Constants!$E$2+$H5*Loss_Constants!$E$3+$I5*Loss_Constants!$E$4+$J5*Loss_Constants!$E$5)/100,1)</f>
        <v>2.5</v>
      </c>
      <c r="Q5">
        <f t="shared" si="0"/>
        <v>9.1999999999999993</v>
      </c>
      <c r="R5" t="s">
        <v>59</v>
      </c>
      <c r="S5" t="s">
        <v>60</v>
      </c>
    </row>
    <row r="6" spans="1:19">
      <c r="A6">
        <v>5</v>
      </c>
      <c r="B6" t="s">
        <v>144</v>
      </c>
      <c r="C6">
        <v>20</v>
      </c>
      <c r="D6">
        <v>40</v>
      </c>
      <c r="E6">
        <v>30</v>
      </c>
      <c r="F6">
        <v>10</v>
      </c>
      <c r="G6">
        <v>60</v>
      </c>
      <c r="H6">
        <v>25</v>
      </c>
      <c r="I6">
        <v>10</v>
      </c>
      <c r="J6">
        <v>5</v>
      </c>
      <c r="K6" t="s">
        <v>134</v>
      </c>
      <c r="L6" t="s">
        <v>135</v>
      </c>
      <c r="M6" t="s">
        <v>142</v>
      </c>
      <c r="N6" t="s">
        <v>143</v>
      </c>
      <c r="O6">
        <f>ROUND(($C6*Loss_Constants!$B$2+$D6*Loss_Constants!$B$3+$E6*Loss_Constants!$B$4+$F6*Loss_Constants!$B$5)/100,1)</f>
        <v>6.7</v>
      </c>
      <c r="P6">
        <f>ROUND(($G6*Loss_Constants!$E$2+$H6*Loss_Constants!$E$3+$I6*Loss_Constants!$E$4+$J6*Loss_Constants!$E$5)/100,1)</f>
        <v>2.5</v>
      </c>
      <c r="Q6">
        <f t="shared" si="0"/>
        <v>9.1999999999999993</v>
      </c>
      <c r="R6" t="s">
        <v>59</v>
      </c>
      <c r="S6" t="s">
        <v>60</v>
      </c>
    </row>
    <row r="7" spans="1:19">
      <c r="A7">
        <v>6</v>
      </c>
      <c r="B7" t="s">
        <v>145</v>
      </c>
      <c r="C7">
        <v>15</v>
      </c>
      <c r="D7">
        <v>45</v>
      </c>
      <c r="E7">
        <v>15</v>
      </c>
      <c r="F7">
        <v>25</v>
      </c>
      <c r="G7">
        <v>35</v>
      </c>
      <c r="H7">
        <v>35</v>
      </c>
      <c r="I7">
        <v>20</v>
      </c>
      <c r="J7">
        <v>10</v>
      </c>
      <c r="K7" t="s">
        <v>134</v>
      </c>
      <c r="L7" t="s">
        <v>135</v>
      </c>
      <c r="M7" t="s">
        <v>136</v>
      </c>
      <c r="N7" t="s">
        <v>140</v>
      </c>
      <c r="O7">
        <f>ROUND(($C7*Loss_Constants!$B$2+$D7*Loss_Constants!$B$3+$E7*Loss_Constants!$B$4+$F7*Loss_Constants!$B$5)/100,1)</f>
        <v>8.6</v>
      </c>
      <c r="P7">
        <f>ROUND(($G7*Loss_Constants!$E$2+$H7*Loss_Constants!$E$3+$I7*Loss_Constants!$E$4+$J7*Loss_Constants!$E$5)/100,1)</f>
        <v>3.6</v>
      </c>
      <c r="Q7">
        <f t="shared" si="0"/>
        <v>12.2</v>
      </c>
      <c r="R7" t="s">
        <v>11</v>
      </c>
      <c r="S7" t="s">
        <v>12</v>
      </c>
    </row>
    <row r="8" spans="1:19">
      <c r="A8">
        <v>7</v>
      </c>
      <c r="B8" t="s">
        <v>146</v>
      </c>
      <c r="C8">
        <v>25</v>
      </c>
      <c r="D8">
        <v>10</v>
      </c>
      <c r="E8">
        <v>0</v>
      </c>
      <c r="F8">
        <v>65</v>
      </c>
      <c r="G8">
        <v>10</v>
      </c>
      <c r="H8">
        <v>20</v>
      </c>
      <c r="I8">
        <v>30</v>
      </c>
      <c r="J8">
        <v>40</v>
      </c>
      <c r="K8" t="s">
        <v>147</v>
      </c>
      <c r="L8" t="s">
        <v>148</v>
      </c>
      <c r="M8" t="s">
        <v>149</v>
      </c>
      <c r="N8" t="s">
        <v>150</v>
      </c>
      <c r="O8">
        <f>ROUND(($C8*Loss_Constants!$B$2+$D8*Loss_Constants!$B$3+$E8*Loss_Constants!$B$4+$F8*Loss_Constants!$B$5)/100,1)</f>
        <v>15.1</v>
      </c>
      <c r="P8">
        <f>ROUND(($G8*Loss_Constants!$E$2+$H8*Loss_Constants!$E$3+$I8*Loss_Constants!$E$4+$J8*Loss_Constants!$E$5)/100,1)</f>
        <v>6.5</v>
      </c>
      <c r="Q8">
        <f t="shared" si="0"/>
        <v>21.6</v>
      </c>
      <c r="R8" t="s">
        <v>49</v>
      </c>
      <c r="S8" t="s">
        <v>50</v>
      </c>
    </row>
    <row r="9" spans="1:19">
      <c r="A9">
        <v>8</v>
      </c>
      <c r="B9" t="s">
        <v>151</v>
      </c>
      <c r="C9">
        <v>25</v>
      </c>
      <c r="D9">
        <v>55</v>
      </c>
      <c r="E9">
        <v>10</v>
      </c>
      <c r="F9">
        <v>10</v>
      </c>
      <c r="G9">
        <v>70</v>
      </c>
      <c r="H9">
        <v>25</v>
      </c>
      <c r="I9">
        <v>5</v>
      </c>
      <c r="J9">
        <v>0</v>
      </c>
      <c r="K9" t="s">
        <v>134</v>
      </c>
      <c r="L9" t="s">
        <v>135</v>
      </c>
      <c r="M9" t="s">
        <v>142</v>
      </c>
      <c r="N9" t="s">
        <v>143</v>
      </c>
      <c r="O9">
        <f>ROUND(($C9*Loss_Constants!$B$2+$D9*Loss_Constants!$B$3+$E9*Loss_Constants!$B$4+$F9*Loss_Constants!$B$5)/100,1)</f>
        <v>7.3</v>
      </c>
      <c r="P9">
        <f>ROUND(($G9*Loss_Constants!$E$2+$H9*Loss_Constants!$E$3+$I9*Loss_Constants!$E$4+$J9*Loss_Constants!$E$5)/100,1)</f>
        <v>1.8</v>
      </c>
      <c r="Q9">
        <f t="shared" si="0"/>
        <v>9.1</v>
      </c>
      <c r="R9" t="s">
        <v>21</v>
      </c>
      <c r="S9" t="s">
        <v>22</v>
      </c>
    </row>
    <row r="10" spans="1:19">
      <c r="A10">
        <v>9</v>
      </c>
      <c r="B10" t="s">
        <v>152</v>
      </c>
      <c r="C10">
        <v>15</v>
      </c>
      <c r="D10">
        <v>55</v>
      </c>
      <c r="E10">
        <v>15</v>
      </c>
      <c r="F10">
        <v>15</v>
      </c>
      <c r="G10">
        <v>20</v>
      </c>
      <c r="H10">
        <v>35</v>
      </c>
      <c r="I10">
        <v>35</v>
      </c>
      <c r="J10">
        <v>10</v>
      </c>
      <c r="K10" t="s">
        <v>134</v>
      </c>
      <c r="L10" t="s">
        <v>135</v>
      </c>
      <c r="M10" t="s">
        <v>149</v>
      </c>
      <c r="N10" t="s">
        <v>137</v>
      </c>
      <c r="O10">
        <f>ROUND(($C10*Loss_Constants!$B$2+$D10*Loss_Constants!$B$3+$E10*Loss_Constants!$B$4+$F10*Loss_Constants!$B$5)/100,1)</f>
        <v>7.2</v>
      </c>
      <c r="P10">
        <f>ROUND(($G10*Loss_Constants!$E$2+$H10*Loss_Constants!$E$3+$I10*Loss_Constants!$E$4+$J10*Loss_Constants!$E$5)/100,1)</f>
        <v>4.4000000000000004</v>
      </c>
      <c r="Q10">
        <f t="shared" si="0"/>
        <v>11.6</v>
      </c>
      <c r="R10" t="s">
        <v>65</v>
      </c>
      <c r="S10" t="s">
        <v>66</v>
      </c>
    </row>
    <row r="11" spans="1:19">
      <c r="A11">
        <v>10</v>
      </c>
      <c r="B11" t="s">
        <v>153</v>
      </c>
      <c r="C11">
        <v>15</v>
      </c>
      <c r="D11">
        <v>65</v>
      </c>
      <c r="E11">
        <v>10</v>
      </c>
      <c r="F11">
        <v>10</v>
      </c>
      <c r="G11">
        <v>25</v>
      </c>
      <c r="H11">
        <v>45</v>
      </c>
      <c r="I11">
        <v>25</v>
      </c>
      <c r="J11">
        <v>5</v>
      </c>
      <c r="K11" t="s">
        <v>134</v>
      </c>
      <c r="L11" t="s">
        <v>135</v>
      </c>
      <c r="M11" t="s">
        <v>136</v>
      </c>
      <c r="N11" t="s">
        <v>137</v>
      </c>
      <c r="O11">
        <f>ROUND(($C11*Loss_Constants!$B$2+$D11*Loss_Constants!$B$3+$E11*Loss_Constants!$B$4+$F11*Loss_Constants!$B$5)/100,1)</f>
        <v>6.5</v>
      </c>
      <c r="P11">
        <f>ROUND(($G11*Loss_Constants!$E$2+$H11*Loss_Constants!$E$3+$I11*Loss_Constants!$E$4+$J11*Loss_Constants!$E$5)/100,1)</f>
        <v>3.6</v>
      </c>
      <c r="Q11">
        <f t="shared" si="0"/>
        <v>10.1</v>
      </c>
      <c r="R11" t="s">
        <v>69</v>
      </c>
      <c r="S11" t="s">
        <v>70</v>
      </c>
    </row>
    <row r="12" spans="1:19">
      <c r="A12">
        <v>11</v>
      </c>
      <c r="B12" t="s">
        <v>154</v>
      </c>
      <c r="C12">
        <v>20</v>
      </c>
      <c r="D12">
        <v>40</v>
      </c>
      <c r="E12">
        <v>30</v>
      </c>
      <c r="F12">
        <v>10</v>
      </c>
      <c r="G12">
        <v>60</v>
      </c>
      <c r="H12">
        <v>25</v>
      </c>
      <c r="I12">
        <v>10</v>
      </c>
      <c r="J12">
        <v>5</v>
      </c>
      <c r="K12" t="s">
        <v>134</v>
      </c>
      <c r="L12" t="s">
        <v>135</v>
      </c>
      <c r="M12" t="s">
        <v>142</v>
      </c>
      <c r="N12" t="s">
        <v>143</v>
      </c>
      <c r="O12">
        <f>ROUND(($C12*Loss_Constants!$B$2+$D12*Loss_Constants!$B$3+$E12*Loss_Constants!$B$4+$F12*Loss_Constants!$B$5)/100,1)</f>
        <v>6.7</v>
      </c>
      <c r="P12">
        <f>ROUND(($G12*Loss_Constants!$E$2+$H12*Loss_Constants!$E$3+$I12*Loss_Constants!$E$4+$J12*Loss_Constants!$E$5)/100,1)</f>
        <v>2.5</v>
      </c>
      <c r="Q12">
        <f t="shared" si="0"/>
        <v>9.1999999999999993</v>
      </c>
      <c r="R12" t="s">
        <v>59</v>
      </c>
      <c r="S12" t="s">
        <v>60</v>
      </c>
    </row>
    <row r="13" spans="1:19">
      <c r="A13">
        <v>12</v>
      </c>
      <c r="B13" t="s">
        <v>155</v>
      </c>
      <c r="C13">
        <v>15</v>
      </c>
      <c r="D13">
        <v>55</v>
      </c>
      <c r="E13">
        <v>15</v>
      </c>
      <c r="F13">
        <v>15</v>
      </c>
      <c r="G13">
        <v>20</v>
      </c>
      <c r="H13">
        <v>35</v>
      </c>
      <c r="I13">
        <v>35</v>
      </c>
      <c r="J13">
        <v>10</v>
      </c>
      <c r="K13" t="s">
        <v>134</v>
      </c>
      <c r="L13" t="s">
        <v>135</v>
      </c>
      <c r="M13" t="s">
        <v>149</v>
      </c>
      <c r="N13" t="s">
        <v>137</v>
      </c>
      <c r="O13">
        <f>ROUND(($C13*Loss_Constants!$B$2+$D13*Loss_Constants!$B$3+$E13*Loss_Constants!$B$4+$F13*Loss_Constants!$B$5)/100,1)</f>
        <v>7.2</v>
      </c>
      <c r="P13">
        <f>ROUND(($G13*Loss_Constants!$E$2+$H13*Loss_Constants!$E$3+$I13*Loss_Constants!$E$4+$J13*Loss_Constants!$E$5)/100,1)</f>
        <v>4.4000000000000004</v>
      </c>
      <c r="Q13">
        <f t="shared" si="0"/>
        <v>11.6</v>
      </c>
      <c r="R13" t="s">
        <v>65</v>
      </c>
      <c r="S13" t="s">
        <v>66</v>
      </c>
    </row>
    <row r="14" spans="1:19">
      <c r="A14">
        <v>13</v>
      </c>
      <c r="B14" t="s">
        <v>156</v>
      </c>
      <c r="C14">
        <v>15</v>
      </c>
      <c r="D14">
        <v>55</v>
      </c>
      <c r="E14">
        <v>20</v>
      </c>
      <c r="F14">
        <v>10</v>
      </c>
      <c r="G14">
        <v>40</v>
      </c>
      <c r="H14">
        <v>40</v>
      </c>
      <c r="I14">
        <v>15</v>
      </c>
      <c r="J14">
        <v>5</v>
      </c>
      <c r="K14" t="s">
        <v>134</v>
      </c>
      <c r="L14" t="s">
        <v>135</v>
      </c>
      <c r="M14" t="s">
        <v>136</v>
      </c>
      <c r="N14" t="s">
        <v>140</v>
      </c>
      <c r="O14">
        <f>ROUND(($C14*Loss_Constants!$B$2+$D14*Loss_Constants!$B$3+$E14*Loss_Constants!$B$4+$F14*Loss_Constants!$B$5)/100,1)</f>
        <v>6.4</v>
      </c>
      <c r="P14">
        <f>ROUND(($G14*Loss_Constants!$E$2+$H14*Loss_Constants!$E$3+$I14*Loss_Constants!$E$4+$J14*Loss_Constants!$E$5)/100,1)</f>
        <v>3</v>
      </c>
      <c r="Q14">
        <f t="shared" si="0"/>
        <v>9.4</v>
      </c>
      <c r="R14" t="s">
        <v>61</v>
      </c>
      <c r="S14" t="s">
        <v>62</v>
      </c>
    </row>
    <row r="15" spans="1:19">
      <c r="A15">
        <v>14</v>
      </c>
      <c r="B15" t="s">
        <v>157</v>
      </c>
      <c r="C15">
        <v>15</v>
      </c>
      <c r="D15">
        <v>65</v>
      </c>
      <c r="E15">
        <v>10</v>
      </c>
      <c r="F15">
        <v>10</v>
      </c>
      <c r="G15">
        <v>25</v>
      </c>
      <c r="H15">
        <v>45</v>
      </c>
      <c r="I15">
        <v>25</v>
      </c>
      <c r="J15">
        <v>5</v>
      </c>
      <c r="K15" t="s">
        <v>134</v>
      </c>
      <c r="L15" t="s">
        <v>135</v>
      </c>
      <c r="M15" t="s">
        <v>136</v>
      </c>
      <c r="N15" t="s">
        <v>137</v>
      </c>
      <c r="O15">
        <f>ROUND(($C15*Loss_Constants!$B$2+$D15*Loss_Constants!$B$3+$E15*Loss_Constants!$B$4+$F15*Loss_Constants!$B$5)/100,1)</f>
        <v>6.5</v>
      </c>
      <c r="P15">
        <f>ROUND(($G15*Loss_Constants!$E$2+$H15*Loss_Constants!$E$3+$I15*Loss_Constants!$E$4+$J15*Loss_Constants!$E$5)/100,1)</f>
        <v>3.6</v>
      </c>
      <c r="Q15">
        <f t="shared" si="0"/>
        <v>10.1</v>
      </c>
      <c r="R15" t="s">
        <v>69</v>
      </c>
      <c r="S15" t="s">
        <v>70</v>
      </c>
    </row>
    <row r="16" spans="1:19">
      <c r="A16">
        <v>15</v>
      </c>
      <c r="B16" t="s">
        <v>158</v>
      </c>
      <c r="C16">
        <v>15</v>
      </c>
      <c r="D16">
        <v>65</v>
      </c>
      <c r="E16">
        <v>10</v>
      </c>
      <c r="F16">
        <v>10</v>
      </c>
      <c r="G16">
        <v>25</v>
      </c>
      <c r="H16">
        <v>45</v>
      </c>
      <c r="I16">
        <v>25</v>
      </c>
      <c r="J16">
        <v>5</v>
      </c>
      <c r="K16" t="s">
        <v>134</v>
      </c>
      <c r="L16" t="s">
        <v>135</v>
      </c>
      <c r="M16" t="s">
        <v>136</v>
      </c>
      <c r="N16" t="s">
        <v>137</v>
      </c>
      <c r="O16">
        <f>ROUND(($C16*Loss_Constants!$B$2+$D16*Loss_Constants!$B$3+$E16*Loss_Constants!$B$4+$F16*Loss_Constants!$B$5)/100,1)</f>
        <v>6.5</v>
      </c>
      <c r="P16">
        <f>ROUND(($G16*Loss_Constants!$E$2+$H16*Loss_Constants!$E$3+$I16*Loss_Constants!$E$4+$J16*Loss_Constants!$E$5)/100,1)</f>
        <v>3.6</v>
      </c>
      <c r="Q16">
        <f t="shared" si="0"/>
        <v>10.1</v>
      </c>
      <c r="R16" t="s">
        <v>69</v>
      </c>
      <c r="S16" t="s">
        <v>70</v>
      </c>
    </row>
    <row r="17" spans="1:19">
      <c r="A17">
        <v>16</v>
      </c>
      <c r="B17" t="s">
        <v>159</v>
      </c>
      <c r="C17">
        <v>10</v>
      </c>
      <c r="D17">
        <v>55</v>
      </c>
      <c r="E17">
        <v>25</v>
      </c>
      <c r="F17">
        <v>10</v>
      </c>
      <c r="G17">
        <v>55</v>
      </c>
      <c r="H17">
        <v>30</v>
      </c>
      <c r="I17">
        <v>12</v>
      </c>
      <c r="J17">
        <v>3</v>
      </c>
      <c r="K17" t="s">
        <v>134</v>
      </c>
      <c r="L17" t="s">
        <v>135</v>
      </c>
      <c r="M17" t="s">
        <v>136</v>
      </c>
      <c r="N17" t="s">
        <v>137</v>
      </c>
      <c r="O17">
        <f>ROUND(($C17*Loss_Constants!$B$2+$D17*Loss_Constants!$B$3+$E17*Loss_Constants!$B$4+$F17*Loss_Constants!$B$5)/100,1)</f>
        <v>6</v>
      </c>
      <c r="P17">
        <f>ROUND(($G17*Loss_Constants!$E$2+$H17*Loss_Constants!$E$3+$I17*Loss_Constants!$E$4+$J17*Loss_Constants!$E$5)/100,1)</f>
        <v>2.5</v>
      </c>
      <c r="Q17">
        <f t="shared" si="0"/>
        <v>8.5</v>
      </c>
      <c r="R17" t="s">
        <v>67</v>
      </c>
      <c r="S17" t="s">
        <v>68</v>
      </c>
    </row>
    <row r="18" spans="1:19">
      <c r="A18">
        <v>17</v>
      </c>
      <c r="B18" t="s">
        <v>160</v>
      </c>
      <c r="C18">
        <v>15</v>
      </c>
      <c r="D18">
        <v>55</v>
      </c>
      <c r="E18">
        <v>20</v>
      </c>
      <c r="F18">
        <v>10</v>
      </c>
      <c r="G18">
        <v>40</v>
      </c>
      <c r="H18">
        <v>40</v>
      </c>
      <c r="I18">
        <v>15</v>
      </c>
      <c r="J18">
        <v>5</v>
      </c>
      <c r="K18" t="s">
        <v>134</v>
      </c>
      <c r="L18" t="s">
        <v>135</v>
      </c>
      <c r="M18" t="s">
        <v>136</v>
      </c>
      <c r="N18" t="s">
        <v>140</v>
      </c>
      <c r="O18">
        <f>ROUND(($C18*Loss_Constants!$B$2+$D18*Loss_Constants!$B$3+$E18*Loss_Constants!$B$4+$F18*Loss_Constants!$B$5)/100,1)</f>
        <v>6.4</v>
      </c>
      <c r="P18">
        <f>ROUND(($G18*Loss_Constants!$E$2+$H18*Loss_Constants!$E$3+$I18*Loss_Constants!$E$4+$J18*Loss_Constants!$E$5)/100,1)</f>
        <v>3</v>
      </c>
      <c r="Q18">
        <f t="shared" si="0"/>
        <v>9.4</v>
      </c>
      <c r="R18" t="s">
        <v>61</v>
      </c>
      <c r="S18" t="s">
        <v>62</v>
      </c>
    </row>
    <row r="19" spans="1:19">
      <c r="A19">
        <v>18</v>
      </c>
      <c r="B19" t="s">
        <v>161</v>
      </c>
      <c r="C19">
        <v>20</v>
      </c>
      <c r="D19">
        <v>40</v>
      </c>
      <c r="E19">
        <v>30</v>
      </c>
      <c r="F19">
        <v>10</v>
      </c>
      <c r="G19">
        <v>60</v>
      </c>
      <c r="H19">
        <v>25</v>
      </c>
      <c r="I19">
        <v>10</v>
      </c>
      <c r="J19">
        <v>5</v>
      </c>
      <c r="K19" t="s">
        <v>134</v>
      </c>
      <c r="L19" t="s">
        <v>135</v>
      </c>
      <c r="M19" t="s">
        <v>142</v>
      </c>
      <c r="N19" t="s">
        <v>143</v>
      </c>
      <c r="O19">
        <f>ROUND(($C19*Loss_Constants!$B$2+$D19*Loss_Constants!$B$3+$E19*Loss_Constants!$B$4+$F19*Loss_Constants!$B$5)/100,1)</f>
        <v>6.7</v>
      </c>
      <c r="P19">
        <f>ROUND(($G19*Loss_Constants!$E$2+$H19*Loss_Constants!$E$3+$I19*Loss_Constants!$E$4+$J19*Loss_Constants!$E$5)/100,1)</f>
        <v>2.5</v>
      </c>
      <c r="Q19">
        <f t="shared" si="0"/>
        <v>9.1999999999999993</v>
      </c>
      <c r="R19" t="s">
        <v>59</v>
      </c>
      <c r="S19" t="s">
        <v>60</v>
      </c>
    </row>
    <row r="20" spans="1:19">
      <c r="A20">
        <v>19</v>
      </c>
      <c r="B20" t="s">
        <v>162</v>
      </c>
      <c r="C20">
        <v>20</v>
      </c>
      <c r="D20">
        <v>40</v>
      </c>
      <c r="E20">
        <v>30</v>
      </c>
      <c r="F20">
        <v>10</v>
      </c>
      <c r="G20">
        <v>60</v>
      </c>
      <c r="H20">
        <v>25</v>
      </c>
      <c r="I20">
        <v>10</v>
      </c>
      <c r="J20">
        <v>5</v>
      </c>
      <c r="K20" t="s">
        <v>134</v>
      </c>
      <c r="L20" t="s">
        <v>135</v>
      </c>
      <c r="M20" t="s">
        <v>142</v>
      </c>
      <c r="N20" t="s">
        <v>143</v>
      </c>
      <c r="O20">
        <f>ROUND(($C20*Loss_Constants!$B$2+$D20*Loss_Constants!$B$3+$E20*Loss_Constants!$B$4+$F20*Loss_Constants!$B$5)/100,1)</f>
        <v>6.7</v>
      </c>
      <c r="P20">
        <f>ROUND(($G20*Loss_Constants!$E$2+$H20*Loss_Constants!$E$3+$I20*Loss_Constants!$E$4+$J20*Loss_Constants!$E$5)/100,1)</f>
        <v>2.5</v>
      </c>
      <c r="Q20">
        <f t="shared" si="0"/>
        <v>9.1999999999999993</v>
      </c>
      <c r="R20" t="s">
        <v>59</v>
      </c>
      <c r="S20" t="s">
        <v>60</v>
      </c>
    </row>
    <row r="21" spans="1:19">
      <c r="A21">
        <v>20</v>
      </c>
      <c r="B21" t="s">
        <v>163</v>
      </c>
      <c r="C21">
        <v>15</v>
      </c>
      <c r="D21">
        <v>55</v>
      </c>
      <c r="E21">
        <v>20</v>
      </c>
      <c r="F21">
        <v>10</v>
      </c>
      <c r="G21">
        <v>45</v>
      </c>
      <c r="H21">
        <v>35</v>
      </c>
      <c r="I21">
        <v>15</v>
      </c>
      <c r="J21">
        <v>5</v>
      </c>
      <c r="K21" t="s">
        <v>134</v>
      </c>
      <c r="L21" t="s">
        <v>135</v>
      </c>
      <c r="M21" t="s">
        <v>136</v>
      </c>
      <c r="N21" t="s">
        <v>137</v>
      </c>
      <c r="O21">
        <f>ROUND(($C21*Loss_Constants!$B$2+$D21*Loss_Constants!$B$3+$E21*Loss_Constants!$B$4+$F21*Loss_Constants!$B$5)/100,1)</f>
        <v>6.4</v>
      </c>
      <c r="P21">
        <f>ROUND(($G21*Loss_Constants!$E$2+$H21*Loss_Constants!$E$3+$I21*Loss_Constants!$E$4+$J21*Loss_Constants!$E$5)/100,1)</f>
        <v>2.9</v>
      </c>
      <c r="Q21">
        <f t="shared" si="0"/>
        <v>9.3000000000000007</v>
      </c>
      <c r="R21" t="s">
        <v>1</v>
      </c>
      <c r="S21" t="s">
        <v>2</v>
      </c>
    </row>
    <row r="22" spans="1:19">
      <c r="A22">
        <v>21</v>
      </c>
      <c r="B22" t="s">
        <v>164</v>
      </c>
      <c r="C22">
        <v>20</v>
      </c>
      <c r="D22">
        <v>35</v>
      </c>
      <c r="E22">
        <v>10</v>
      </c>
      <c r="F22">
        <v>35</v>
      </c>
      <c r="G22">
        <v>20</v>
      </c>
      <c r="H22">
        <v>25</v>
      </c>
      <c r="I22">
        <v>35</v>
      </c>
      <c r="J22">
        <v>20</v>
      </c>
      <c r="K22" t="s">
        <v>134</v>
      </c>
      <c r="L22" t="s">
        <v>165</v>
      </c>
      <c r="M22" t="s">
        <v>149</v>
      </c>
      <c r="N22" t="s">
        <v>137</v>
      </c>
      <c r="O22">
        <f>ROUND(($C22*Loss_Constants!$B$2+$D22*Loss_Constants!$B$3+$E22*Loss_Constants!$B$4+$F22*Loss_Constants!$B$5)/100,1)</f>
        <v>10.4</v>
      </c>
      <c r="P22">
        <f>ROUND(($G22*Loss_Constants!$E$2+$H22*Loss_Constants!$E$3+$I22*Loss_Constants!$E$4+$J22*Loss_Constants!$E$5)/100,1)</f>
        <v>5.0999999999999996</v>
      </c>
      <c r="Q22">
        <f t="shared" si="0"/>
        <v>15.5</v>
      </c>
      <c r="R22" t="s">
        <v>53</v>
      </c>
      <c r="S22" t="s">
        <v>54</v>
      </c>
    </row>
    <row r="23" spans="1:19">
      <c r="A23">
        <v>22</v>
      </c>
      <c r="B23" t="s">
        <v>166</v>
      </c>
      <c r="C23">
        <v>15</v>
      </c>
      <c r="D23">
        <v>55</v>
      </c>
      <c r="E23">
        <v>20</v>
      </c>
      <c r="F23">
        <v>10</v>
      </c>
      <c r="G23">
        <v>40</v>
      </c>
      <c r="H23">
        <v>40</v>
      </c>
      <c r="I23">
        <v>15</v>
      </c>
      <c r="J23">
        <v>5</v>
      </c>
      <c r="K23" t="s">
        <v>134</v>
      </c>
      <c r="L23" t="s">
        <v>135</v>
      </c>
      <c r="M23" t="s">
        <v>136</v>
      </c>
      <c r="N23" t="s">
        <v>140</v>
      </c>
      <c r="O23">
        <f>ROUND(($C23*Loss_Constants!$B$2+$D23*Loss_Constants!$B$3+$E23*Loss_Constants!$B$4+$F23*Loss_Constants!$B$5)/100,1)</f>
        <v>6.4</v>
      </c>
      <c r="P23">
        <f>ROUND(($G23*Loss_Constants!$E$2+$H23*Loss_Constants!$E$3+$I23*Loss_Constants!$E$4+$J23*Loss_Constants!$E$5)/100,1)</f>
        <v>3</v>
      </c>
      <c r="Q23">
        <f t="shared" si="0"/>
        <v>9.4</v>
      </c>
      <c r="R23" t="s">
        <v>61</v>
      </c>
      <c r="S23" t="s">
        <v>62</v>
      </c>
    </row>
    <row r="24" spans="1:19">
      <c r="A24">
        <v>23</v>
      </c>
      <c r="B24" t="s">
        <v>167</v>
      </c>
      <c r="C24">
        <v>20</v>
      </c>
      <c r="D24">
        <v>35</v>
      </c>
      <c r="E24">
        <v>10</v>
      </c>
      <c r="F24">
        <v>35</v>
      </c>
      <c r="G24">
        <v>20</v>
      </c>
      <c r="H24">
        <v>25</v>
      </c>
      <c r="I24">
        <v>35</v>
      </c>
      <c r="J24">
        <v>20</v>
      </c>
      <c r="K24" t="s">
        <v>134</v>
      </c>
      <c r="L24" t="s">
        <v>165</v>
      </c>
      <c r="M24" t="s">
        <v>149</v>
      </c>
      <c r="N24" t="s">
        <v>137</v>
      </c>
      <c r="O24">
        <f>ROUND(($C24*Loss_Constants!$B$2+$D24*Loss_Constants!$B$3+$E24*Loss_Constants!$B$4+$F24*Loss_Constants!$B$5)/100,1)</f>
        <v>10.4</v>
      </c>
      <c r="P24">
        <f>ROUND(($G24*Loss_Constants!$E$2+$H24*Loss_Constants!$E$3+$I24*Loss_Constants!$E$4+$J24*Loss_Constants!$E$5)/100,1)</f>
        <v>5.0999999999999996</v>
      </c>
      <c r="Q24">
        <f t="shared" si="0"/>
        <v>15.5</v>
      </c>
      <c r="R24" t="s">
        <v>53</v>
      </c>
      <c r="S24" t="s">
        <v>54</v>
      </c>
    </row>
    <row r="25" spans="1:19">
      <c r="A25">
        <v>24</v>
      </c>
      <c r="B25" t="s">
        <v>168</v>
      </c>
      <c r="C25">
        <v>20</v>
      </c>
      <c r="D25">
        <v>40</v>
      </c>
      <c r="E25">
        <v>30</v>
      </c>
      <c r="F25">
        <v>10</v>
      </c>
      <c r="G25">
        <v>60</v>
      </c>
      <c r="H25">
        <v>25</v>
      </c>
      <c r="I25">
        <v>10</v>
      </c>
      <c r="J25">
        <v>5</v>
      </c>
      <c r="K25" t="s">
        <v>134</v>
      </c>
      <c r="L25" t="s">
        <v>135</v>
      </c>
      <c r="M25" t="s">
        <v>142</v>
      </c>
      <c r="N25" t="s">
        <v>143</v>
      </c>
      <c r="O25">
        <f>ROUND(($C25*Loss_Constants!$B$2+$D25*Loss_Constants!$B$3+$E25*Loss_Constants!$B$4+$F25*Loss_Constants!$B$5)/100,1)</f>
        <v>6.7</v>
      </c>
      <c r="P25">
        <f>ROUND(($G25*Loss_Constants!$E$2+$H25*Loss_Constants!$E$3+$I25*Loss_Constants!$E$4+$J25*Loss_Constants!$E$5)/100,1)</f>
        <v>2.5</v>
      </c>
      <c r="Q25">
        <f t="shared" si="0"/>
        <v>9.1999999999999993</v>
      </c>
      <c r="R25" t="s">
        <v>59</v>
      </c>
      <c r="S25" t="s">
        <v>60</v>
      </c>
    </row>
    <row r="26" spans="1:19">
      <c r="A26">
        <v>25</v>
      </c>
      <c r="B26" t="s">
        <v>169</v>
      </c>
      <c r="C26">
        <v>25</v>
      </c>
      <c r="D26">
        <v>10</v>
      </c>
      <c r="E26">
        <v>0</v>
      </c>
      <c r="F26">
        <v>65</v>
      </c>
      <c r="G26">
        <v>10</v>
      </c>
      <c r="H26">
        <v>20</v>
      </c>
      <c r="I26">
        <v>30</v>
      </c>
      <c r="J26">
        <v>40</v>
      </c>
      <c r="K26" t="s">
        <v>147</v>
      </c>
      <c r="L26" t="s">
        <v>148</v>
      </c>
      <c r="M26" t="s">
        <v>149</v>
      </c>
      <c r="N26" t="s">
        <v>150</v>
      </c>
      <c r="O26">
        <f>ROUND(($C26*Loss_Constants!$B$2+$D26*Loss_Constants!$B$3+$E26*Loss_Constants!$B$4+$F26*Loss_Constants!$B$5)/100,1)</f>
        <v>15.1</v>
      </c>
      <c r="P26">
        <f>ROUND(($G26*Loss_Constants!$E$2+$H26*Loss_Constants!$E$3+$I26*Loss_Constants!$E$4+$J26*Loss_Constants!$E$5)/100,1)</f>
        <v>6.5</v>
      </c>
      <c r="Q26">
        <f t="shared" si="0"/>
        <v>21.6</v>
      </c>
      <c r="R26" t="s">
        <v>49</v>
      </c>
      <c r="S26" t="s">
        <v>50</v>
      </c>
    </row>
    <row r="27" spans="1:19">
      <c r="A27">
        <v>26</v>
      </c>
      <c r="B27" t="s">
        <v>170</v>
      </c>
      <c r="C27">
        <v>15</v>
      </c>
      <c r="D27">
        <v>55</v>
      </c>
      <c r="E27">
        <v>20</v>
      </c>
      <c r="F27">
        <v>10</v>
      </c>
      <c r="G27">
        <v>45</v>
      </c>
      <c r="H27">
        <v>35</v>
      </c>
      <c r="I27">
        <v>15</v>
      </c>
      <c r="J27">
        <v>5</v>
      </c>
      <c r="K27" t="s">
        <v>134</v>
      </c>
      <c r="L27" t="s">
        <v>135</v>
      </c>
      <c r="M27" t="s">
        <v>136</v>
      </c>
      <c r="N27" t="s">
        <v>137</v>
      </c>
      <c r="O27">
        <f>ROUND(($C27*Loss_Constants!$B$2+$D27*Loss_Constants!$B$3+$E27*Loss_Constants!$B$4+$F27*Loss_Constants!$B$5)/100,1)</f>
        <v>6.4</v>
      </c>
      <c r="P27">
        <f>ROUND(($G27*Loss_Constants!$E$2+$H27*Loss_Constants!$E$3+$I27*Loss_Constants!$E$4+$J27*Loss_Constants!$E$5)/100,1)</f>
        <v>2.9</v>
      </c>
      <c r="Q27">
        <f t="shared" si="0"/>
        <v>9.3000000000000007</v>
      </c>
      <c r="R27" t="s">
        <v>1</v>
      </c>
      <c r="S27" t="s">
        <v>2</v>
      </c>
    </row>
    <row r="28" spans="1:19">
      <c r="A28">
        <v>27</v>
      </c>
      <c r="B28" t="s">
        <v>171</v>
      </c>
      <c r="C28">
        <v>20</v>
      </c>
      <c r="D28">
        <v>10</v>
      </c>
      <c r="E28">
        <v>5</v>
      </c>
      <c r="F28">
        <v>65</v>
      </c>
      <c r="G28">
        <v>25</v>
      </c>
      <c r="H28">
        <v>20</v>
      </c>
      <c r="I28">
        <v>35</v>
      </c>
      <c r="J28">
        <v>20</v>
      </c>
      <c r="K28" t="s">
        <v>172</v>
      </c>
      <c r="L28" t="s">
        <v>148</v>
      </c>
      <c r="M28" t="s">
        <v>149</v>
      </c>
      <c r="N28" t="s">
        <v>140</v>
      </c>
      <c r="O28">
        <f>ROUND(($C28*Loss_Constants!$B$2+$D28*Loss_Constants!$B$3+$E28*Loss_Constants!$B$4+$F28*Loss_Constants!$B$5)/100,1)</f>
        <v>14.7</v>
      </c>
      <c r="P28">
        <f>ROUND(($G28*Loss_Constants!$E$2+$H28*Loss_Constants!$E$3+$I28*Loss_Constants!$E$4+$J28*Loss_Constants!$E$5)/100,1)</f>
        <v>5</v>
      </c>
      <c r="Q28">
        <f t="shared" si="0"/>
        <v>19.7</v>
      </c>
      <c r="R28" t="s">
        <v>89</v>
      </c>
      <c r="S28" t="s">
        <v>90</v>
      </c>
    </row>
    <row r="29" spans="1:19">
      <c r="A29">
        <v>28</v>
      </c>
      <c r="B29" t="s">
        <v>173</v>
      </c>
      <c r="C29">
        <v>15</v>
      </c>
      <c r="D29">
        <v>10</v>
      </c>
      <c r="E29">
        <v>5</v>
      </c>
      <c r="F29">
        <v>70</v>
      </c>
      <c r="G29">
        <v>35</v>
      </c>
      <c r="H29">
        <v>30</v>
      </c>
      <c r="I29">
        <v>25</v>
      </c>
      <c r="J29">
        <v>10</v>
      </c>
      <c r="K29" t="s">
        <v>172</v>
      </c>
      <c r="L29" t="s">
        <v>148</v>
      </c>
      <c r="M29" t="s">
        <v>149</v>
      </c>
      <c r="N29" t="s">
        <v>174</v>
      </c>
      <c r="O29">
        <f>ROUND(($C29*Loss_Constants!$B$2+$D29*Loss_Constants!$B$3+$E29*Loss_Constants!$B$4+$F29*Loss_Constants!$B$5)/100,1)</f>
        <v>15</v>
      </c>
      <c r="P29">
        <f>ROUND(($G29*Loss_Constants!$E$2+$H29*Loss_Constants!$E$3+$I29*Loss_Constants!$E$4+$J29*Loss_Constants!$E$5)/100,1)</f>
        <v>3.8</v>
      </c>
      <c r="Q29">
        <f t="shared" si="0"/>
        <v>18.8</v>
      </c>
      <c r="R29" t="s">
        <v>57</v>
      </c>
      <c r="S29" t="s">
        <v>58</v>
      </c>
    </row>
    <row r="30" spans="1:19">
      <c r="A30">
        <v>29</v>
      </c>
      <c r="B30" t="s">
        <v>175</v>
      </c>
      <c r="C30">
        <v>25</v>
      </c>
      <c r="D30">
        <v>10</v>
      </c>
      <c r="E30">
        <v>0</v>
      </c>
      <c r="F30">
        <v>65</v>
      </c>
      <c r="G30">
        <v>10</v>
      </c>
      <c r="H30">
        <v>20</v>
      </c>
      <c r="I30">
        <v>30</v>
      </c>
      <c r="J30">
        <v>40</v>
      </c>
      <c r="K30" t="s">
        <v>147</v>
      </c>
      <c r="L30" t="s">
        <v>148</v>
      </c>
      <c r="M30" t="s">
        <v>149</v>
      </c>
      <c r="N30" t="s">
        <v>150</v>
      </c>
      <c r="O30">
        <f>ROUND(($C30*Loss_Constants!$B$2+$D30*Loss_Constants!$B$3+$E30*Loss_Constants!$B$4+$F30*Loss_Constants!$B$5)/100,1)</f>
        <v>15.1</v>
      </c>
      <c r="P30">
        <f>ROUND(($G30*Loss_Constants!$E$2+$H30*Loss_Constants!$E$3+$I30*Loss_Constants!$E$4+$J30*Loss_Constants!$E$5)/100,1)</f>
        <v>6.5</v>
      </c>
      <c r="Q30">
        <f t="shared" si="0"/>
        <v>21.6</v>
      </c>
      <c r="R30" t="s">
        <v>49</v>
      </c>
      <c r="S30" t="s">
        <v>50</v>
      </c>
    </row>
    <row r="31" spans="1:19">
      <c r="A31">
        <v>30</v>
      </c>
      <c r="B31" t="s">
        <v>176</v>
      </c>
      <c r="C31">
        <v>20</v>
      </c>
      <c r="D31">
        <v>10</v>
      </c>
      <c r="E31">
        <v>5</v>
      </c>
      <c r="F31">
        <v>65</v>
      </c>
      <c r="G31">
        <v>25</v>
      </c>
      <c r="H31">
        <v>20</v>
      </c>
      <c r="I31">
        <v>35</v>
      </c>
      <c r="J31">
        <v>20</v>
      </c>
      <c r="K31" t="s">
        <v>172</v>
      </c>
      <c r="L31" t="s">
        <v>148</v>
      </c>
      <c r="M31" t="s">
        <v>149</v>
      </c>
      <c r="N31" t="s">
        <v>140</v>
      </c>
      <c r="O31">
        <f>ROUND(($C31*Loss_Constants!$B$2+$D31*Loss_Constants!$B$3+$E31*Loss_Constants!$B$4+$F31*Loss_Constants!$B$5)/100,1)</f>
        <v>14.7</v>
      </c>
      <c r="P31">
        <f>ROUND(($G31*Loss_Constants!$E$2+$H31*Loss_Constants!$E$3+$I31*Loss_Constants!$E$4+$J31*Loss_Constants!$E$5)/100,1)</f>
        <v>5</v>
      </c>
      <c r="Q31">
        <f t="shared" si="0"/>
        <v>19.7</v>
      </c>
      <c r="R31" t="s">
        <v>89</v>
      </c>
      <c r="S31" t="s">
        <v>90</v>
      </c>
    </row>
    <row r="32" spans="1:19">
      <c r="A32">
        <v>31</v>
      </c>
      <c r="B32" t="s">
        <v>177</v>
      </c>
      <c r="C32">
        <v>30</v>
      </c>
      <c r="D32">
        <v>35</v>
      </c>
      <c r="E32">
        <v>5</v>
      </c>
      <c r="F32">
        <v>30</v>
      </c>
      <c r="G32">
        <v>20</v>
      </c>
      <c r="H32">
        <v>25</v>
      </c>
      <c r="I32">
        <v>35</v>
      </c>
      <c r="J32">
        <v>20</v>
      </c>
      <c r="K32" t="s">
        <v>134</v>
      </c>
      <c r="L32" t="s">
        <v>178</v>
      </c>
      <c r="M32" t="s">
        <v>179</v>
      </c>
      <c r="N32" t="s">
        <v>137</v>
      </c>
      <c r="O32">
        <f>ROUND(($C32*Loss_Constants!$B$2+$D32*Loss_Constants!$B$3+$E32*Loss_Constants!$B$4+$F32*Loss_Constants!$B$5)/100,1)</f>
        <v>10.6</v>
      </c>
      <c r="P32">
        <f>ROUND(($G32*Loss_Constants!$E$2+$H32*Loss_Constants!$E$3+$I32*Loss_Constants!$E$4+$J32*Loss_Constants!$E$5)/100,1)</f>
        <v>5.0999999999999996</v>
      </c>
      <c r="Q32">
        <f t="shared" si="0"/>
        <v>15.7</v>
      </c>
      <c r="R32" t="s">
        <v>41</v>
      </c>
      <c r="S32" t="s">
        <v>42</v>
      </c>
    </row>
    <row r="33" spans="1:19">
      <c r="A33">
        <v>32</v>
      </c>
      <c r="B33" t="s">
        <v>180</v>
      </c>
      <c r="C33">
        <v>30</v>
      </c>
      <c r="D33">
        <v>35</v>
      </c>
      <c r="E33">
        <v>5</v>
      </c>
      <c r="F33">
        <v>30</v>
      </c>
      <c r="G33">
        <v>20</v>
      </c>
      <c r="H33">
        <v>25</v>
      </c>
      <c r="I33">
        <v>35</v>
      </c>
      <c r="J33">
        <v>20</v>
      </c>
      <c r="K33" t="s">
        <v>134</v>
      </c>
      <c r="L33" t="s">
        <v>178</v>
      </c>
      <c r="M33" t="s">
        <v>179</v>
      </c>
      <c r="N33" t="s">
        <v>137</v>
      </c>
      <c r="O33">
        <f>ROUND(($C33*Loss_Constants!$B$2+$D33*Loss_Constants!$B$3+$E33*Loss_Constants!$B$4+$F33*Loss_Constants!$B$5)/100,1)</f>
        <v>10.6</v>
      </c>
      <c r="P33">
        <f>ROUND(($G33*Loss_Constants!$E$2+$H33*Loss_Constants!$E$3+$I33*Loss_Constants!$E$4+$J33*Loss_Constants!$E$5)/100,1)</f>
        <v>5.0999999999999996</v>
      </c>
      <c r="Q33">
        <f t="shared" si="0"/>
        <v>15.7</v>
      </c>
      <c r="R33" t="s">
        <v>41</v>
      </c>
      <c r="S33" t="s">
        <v>42</v>
      </c>
    </row>
    <row r="34" spans="1:19">
      <c r="A34">
        <v>33</v>
      </c>
      <c r="B34" t="s">
        <v>181</v>
      </c>
      <c r="C34">
        <v>25</v>
      </c>
      <c r="D34">
        <v>20</v>
      </c>
      <c r="E34">
        <v>35</v>
      </c>
      <c r="F34">
        <v>20</v>
      </c>
      <c r="G34">
        <v>65</v>
      </c>
      <c r="H34">
        <v>20</v>
      </c>
      <c r="I34">
        <v>10</v>
      </c>
      <c r="J34">
        <v>5</v>
      </c>
      <c r="K34" t="s">
        <v>182</v>
      </c>
      <c r="L34" t="s">
        <v>183</v>
      </c>
      <c r="M34" t="s">
        <v>149</v>
      </c>
      <c r="N34" t="s">
        <v>143</v>
      </c>
      <c r="O34">
        <f>ROUND(($C34*Loss_Constants!$B$2+$D34*Loss_Constants!$B$3+$E34*Loss_Constants!$B$4+$F34*Loss_Constants!$B$5)/100,1)</f>
        <v>8.5</v>
      </c>
      <c r="P34">
        <f>ROUND(($G34*Loss_Constants!$E$2+$H34*Loss_Constants!$E$3+$I34*Loss_Constants!$E$4+$J34*Loss_Constants!$E$5)/100,1)</f>
        <v>2.4</v>
      </c>
      <c r="Q34">
        <f t="shared" si="0"/>
        <v>10.9</v>
      </c>
      <c r="R34" t="s">
        <v>3</v>
      </c>
      <c r="S34" t="s">
        <v>4</v>
      </c>
    </row>
    <row r="35" spans="1:19">
      <c r="A35">
        <v>34</v>
      </c>
      <c r="B35" t="s">
        <v>184</v>
      </c>
      <c r="C35">
        <v>15</v>
      </c>
      <c r="D35">
        <v>45</v>
      </c>
      <c r="E35">
        <v>15</v>
      </c>
      <c r="F35">
        <v>25</v>
      </c>
      <c r="G35">
        <v>35</v>
      </c>
      <c r="H35">
        <v>35</v>
      </c>
      <c r="I35">
        <v>20</v>
      </c>
      <c r="J35">
        <v>10</v>
      </c>
      <c r="K35" t="s">
        <v>134</v>
      </c>
      <c r="L35" t="s">
        <v>135</v>
      </c>
      <c r="M35" t="s">
        <v>136</v>
      </c>
      <c r="N35" t="s">
        <v>140</v>
      </c>
      <c r="O35">
        <f>ROUND(($C35*Loss_Constants!$B$2+$D35*Loss_Constants!$B$3+$E35*Loss_Constants!$B$4+$F35*Loss_Constants!$B$5)/100,1)</f>
        <v>8.6</v>
      </c>
      <c r="P35">
        <f>ROUND(($G35*Loss_Constants!$E$2+$H35*Loss_Constants!$E$3+$I35*Loss_Constants!$E$4+$J35*Loss_Constants!$E$5)/100,1)</f>
        <v>3.6</v>
      </c>
      <c r="Q35">
        <f t="shared" si="0"/>
        <v>12.2</v>
      </c>
      <c r="R35" t="s">
        <v>11</v>
      </c>
      <c r="S35" t="s">
        <v>12</v>
      </c>
    </row>
    <row r="36" spans="1:19">
      <c r="A36">
        <v>35</v>
      </c>
      <c r="B36" t="s">
        <v>103</v>
      </c>
      <c r="C36">
        <v>25</v>
      </c>
      <c r="D36">
        <v>5</v>
      </c>
      <c r="E36">
        <v>0</v>
      </c>
      <c r="F36">
        <v>70</v>
      </c>
      <c r="G36">
        <v>20</v>
      </c>
      <c r="H36">
        <v>15</v>
      </c>
      <c r="I36">
        <v>30</v>
      </c>
      <c r="J36">
        <v>35</v>
      </c>
      <c r="K36" t="s">
        <v>134</v>
      </c>
      <c r="L36" t="s">
        <v>185</v>
      </c>
      <c r="M36" t="s">
        <v>179</v>
      </c>
      <c r="N36" t="s">
        <v>150</v>
      </c>
      <c r="O36">
        <f>ROUND(($C36*Loss_Constants!$B$2+$D36*Loss_Constants!$B$3+$E36*Loss_Constants!$B$4+$F36*Loss_Constants!$B$5)/100,1)</f>
        <v>15.8</v>
      </c>
      <c r="P36">
        <f>ROUND(($G36*Loss_Constants!$E$2+$H36*Loss_Constants!$E$3+$I36*Loss_Constants!$E$4+$J36*Loss_Constants!$E$5)/100,1)</f>
        <v>6</v>
      </c>
      <c r="Q36">
        <f t="shared" si="0"/>
        <v>21.8</v>
      </c>
      <c r="R36" t="s">
        <v>23</v>
      </c>
      <c r="S36" t="s">
        <v>24</v>
      </c>
    </row>
    <row r="37" spans="1:19">
      <c r="A37">
        <v>36</v>
      </c>
      <c r="B37" t="s">
        <v>186</v>
      </c>
      <c r="C37">
        <v>20</v>
      </c>
      <c r="D37">
        <v>35</v>
      </c>
      <c r="E37">
        <v>10</v>
      </c>
      <c r="F37">
        <v>35</v>
      </c>
      <c r="G37">
        <v>20</v>
      </c>
      <c r="H37">
        <v>25</v>
      </c>
      <c r="I37">
        <v>35</v>
      </c>
      <c r="J37">
        <v>20</v>
      </c>
      <c r="K37" t="s">
        <v>134</v>
      </c>
      <c r="L37" t="s">
        <v>165</v>
      </c>
      <c r="M37" t="s">
        <v>149</v>
      </c>
      <c r="N37" t="s">
        <v>137</v>
      </c>
      <c r="O37">
        <f>ROUND(($C37*Loss_Constants!$B$2+$D37*Loss_Constants!$B$3+$E37*Loss_Constants!$B$4+$F37*Loss_Constants!$B$5)/100,1)</f>
        <v>10.4</v>
      </c>
      <c r="P37">
        <f>ROUND(($G37*Loss_Constants!$E$2+$H37*Loss_Constants!$E$3+$I37*Loss_Constants!$E$4+$J37*Loss_Constants!$E$5)/100,1)</f>
        <v>5.0999999999999996</v>
      </c>
      <c r="Q37">
        <f t="shared" si="0"/>
        <v>15.5</v>
      </c>
      <c r="R37" t="s">
        <v>53</v>
      </c>
      <c r="S37" t="s">
        <v>54</v>
      </c>
    </row>
    <row r="38" spans="1:19">
      <c r="A38">
        <v>37</v>
      </c>
      <c r="B38" t="s">
        <v>187</v>
      </c>
      <c r="C38">
        <v>20</v>
      </c>
      <c r="D38">
        <v>10</v>
      </c>
      <c r="E38">
        <v>5</v>
      </c>
      <c r="F38">
        <v>65</v>
      </c>
      <c r="G38">
        <v>25</v>
      </c>
      <c r="H38">
        <v>25</v>
      </c>
      <c r="I38">
        <v>30</v>
      </c>
      <c r="J38">
        <v>20</v>
      </c>
      <c r="K38" t="s">
        <v>172</v>
      </c>
      <c r="L38" t="s">
        <v>148</v>
      </c>
      <c r="M38" t="s">
        <v>149</v>
      </c>
      <c r="N38" t="s">
        <v>137</v>
      </c>
      <c r="O38">
        <f>ROUND(($C38*Loss_Constants!$B$2+$D38*Loss_Constants!$B$3+$E38*Loss_Constants!$B$4+$F38*Loss_Constants!$B$5)/100,1)</f>
        <v>14.7</v>
      </c>
      <c r="P38">
        <f>ROUND(($G38*Loss_Constants!$E$2+$H38*Loss_Constants!$E$3+$I38*Loss_Constants!$E$4+$J38*Loss_Constants!$E$5)/100,1)</f>
        <v>4.8</v>
      </c>
      <c r="Q38">
        <f t="shared" si="0"/>
        <v>19.5</v>
      </c>
      <c r="R38" t="s">
        <v>91</v>
      </c>
      <c r="S38" t="s">
        <v>92</v>
      </c>
    </row>
    <row r="39" spans="1:19">
      <c r="A39">
        <v>38</v>
      </c>
      <c r="B39" t="s">
        <v>188</v>
      </c>
      <c r="C39">
        <v>20</v>
      </c>
      <c r="D39">
        <v>25</v>
      </c>
      <c r="E39">
        <v>0</v>
      </c>
      <c r="F39">
        <v>55</v>
      </c>
      <c r="G39">
        <v>10</v>
      </c>
      <c r="H39">
        <v>25</v>
      </c>
      <c r="I39">
        <v>35</v>
      </c>
      <c r="J39">
        <v>30</v>
      </c>
      <c r="K39" t="s">
        <v>134</v>
      </c>
      <c r="L39" t="s">
        <v>148</v>
      </c>
      <c r="M39" t="s">
        <v>136</v>
      </c>
      <c r="N39" t="s">
        <v>137</v>
      </c>
      <c r="O39">
        <f>ROUND(($C39*Loss_Constants!$B$2+$D39*Loss_Constants!$B$3+$E39*Loss_Constants!$B$4+$F39*Loss_Constants!$B$5)/100,1)</f>
        <v>13.3</v>
      </c>
      <c r="P39">
        <f>ROUND(($G39*Loss_Constants!$E$2+$H39*Loss_Constants!$E$3+$I39*Loss_Constants!$E$4+$J39*Loss_Constants!$E$5)/100,1)</f>
        <v>6</v>
      </c>
      <c r="Q39">
        <f t="shared" si="0"/>
        <v>19.3</v>
      </c>
      <c r="R39" t="s">
        <v>87</v>
      </c>
      <c r="S39" t="s">
        <v>88</v>
      </c>
    </row>
    <row r="40" spans="1:19">
      <c r="A40">
        <v>39</v>
      </c>
      <c r="B40" t="s">
        <v>189</v>
      </c>
      <c r="C40">
        <v>20</v>
      </c>
      <c r="D40">
        <v>5</v>
      </c>
      <c r="E40">
        <v>5</v>
      </c>
      <c r="F40">
        <v>70</v>
      </c>
      <c r="G40">
        <v>30</v>
      </c>
      <c r="H40">
        <v>20</v>
      </c>
      <c r="I40">
        <v>25</v>
      </c>
      <c r="J40">
        <v>25</v>
      </c>
      <c r="K40" t="s">
        <v>182</v>
      </c>
      <c r="L40" t="s">
        <v>148</v>
      </c>
      <c r="M40" t="s">
        <v>179</v>
      </c>
      <c r="N40" t="s">
        <v>174</v>
      </c>
      <c r="O40">
        <f>ROUND(($C40*Loss_Constants!$B$2+$D40*Loss_Constants!$B$3+$E40*Loss_Constants!$B$4+$F40*Loss_Constants!$B$5)/100,1)</f>
        <v>15.4</v>
      </c>
      <c r="P40">
        <f>ROUND(($G40*Loss_Constants!$E$2+$H40*Loss_Constants!$E$3+$I40*Loss_Constants!$E$4+$J40*Loss_Constants!$E$5)/100,1)</f>
        <v>4.9000000000000004</v>
      </c>
      <c r="Q40">
        <f t="shared" si="0"/>
        <v>20.3</v>
      </c>
      <c r="R40" t="s">
        <v>45</v>
      </c>
      <c r="S40" t="s">
        <v>46</v>
      </c>
    </row>
    <row r="41" spans="1:19">
      <c r="A41">
        <v>40</v>
      </c>
      <c r="B41" t="s">
        <v>190</v>
      </c>
      <c r="C41">
        <v>20</v>
      </c>
      <c r="D41">
        <v>5</v>
      </c>
      <c r="E41">
        <v>5</v>
      </c>
      <c r="F41">
        <v>70</v>
      </c>
      <c r="G41">
        <v>30</v>
      </c>
      <c r="H41">
        <v>20</v>
      </c>
      <c r="I41">
        <v>25</v>
      </c>
      <c r="J41">
        <v>25</v>
      </c>
      <c r="K41" t="s">
        <v>182</v>
      </c>
      <c r="L41" t="s">
        <v>148</v>
      </c>
      <c r="M41" t="s">
        <v>179</v>
      </c>
      <c r="N41" t="s">
        <v>174</v>
      </c>
      <c r="O41">
        <f>ROUND(($C41*Loss_Constants!$B$2+$D41*Loss_Constants!$B$3+$E41*Loss_Constants!$B$4+$F41*Loss_Constants!$B$5)/100,1)</f>
        <v>15.4</v>
      </c>
      <c r="P41">
        <f>ROUND(($G41*Loss_Constants!$E$2+$H41*Loss_Constants!$E$3+$I41*Loss_Constants!$E$4+$J41*Loss_Constants!$E$5)/100,1)</f>
        <v>4.9000000000000004</v>
      </c>
      <c r="Q41">
        <f t="shared" si="0"/>
        <v>20.3</v>
      </c>
      <c r="R41" t="s">
        <v>45</v>
      </c>
      <c r="S41" t="s">
        <v>46</v>
      </c>
    </row>
    <row r="42" spans="1:19">
      <c r="A42">
        <v>41</v>
      </c>
      <c r="B42" t="s">
        <v>191</v>
      </c>
      <c r="C42">
        <v>20</v>
      </c>
      <c r="D42">
        <v>10</v>
      </c>
      <c r="E42">
        <v>5</v>
      </c>
      <c r="F42">
        <v>65</v>
      </c>
      <c r="G42">
        <v>25</v>
      </c>
      <c r="H42">
        <v>20</v>
      </c>
      <c r="I42">
        <v>35</v>
      </c>
      <c r="J42">
        <v>20</v>
      </c>
      <c r="K42" t="s">
        <v>172</v>
      </c>
      <c r="L42" t="s">
        <v>148</v>
      </c>
      <c r="M42" t="s">
        <v>149</v>
      </c>
      <c r="N42" t="s">
        <v>140</v>
      </c>
      <c r="O42">
        <f>ROUND(($C42*Loss_Constants!$B$2+$D42*Loss_Constants!$B$3+$E42*Loss_Constants!$B$4+$F42*Loss_Constants!$B$5)/100,1)</f>
        <v>14.7</v>
      </c>
      <c r="P42">
        <f>ROUND(($G42*Loss_Constants!$E$2+$H42*Loss_Constants!$E$3+$I42*Loss_Constants!$E$4+$J42*Loss_Constants!$E$5)/100,1)</f>
        <v>5</v>
      </c>
      <c r="Q42">
        <f t="shared" si="0"/>
        <v>19.7</v>
      </c>
      <c r="R42" t="s">
        <v>89</v>
      </c>
      <c r="S42" t="s">
        <v>90</v>
      </c>
    </row>
    <row r="43" spans="1:19">
      <c r="A43">
        <v>42</v>
      </c>
      <c r="B43" t="s">
        <v>192</v>
      </c>
      <c r="C43">
        <v>20</v>
      </c>
      <c r="D43">
        <v>10</v>
      </c>
      <c r="E43">
        <v>5</v>
      </c>
      <c r="F43">
        <v>65</v>
      </c>
      <c r="G43">
        <v>25</v>
      </c>
      <c r="H43">
        <v>25</v>
      </c>
      <c r="I43">
        <v>30</v>
      </c>
      <c r="J43">
        <v>20</v>
      </c>
      <c r="K43" t="s">
        <v>172</v>
      </c>
      <c r="L43" t="s">
        <v>148</v>
      </c>
      <c r="M43" t="s">
        <v>149</v>
      </c>
      <c r="N43" t="s">
        <v>137</v>
      </c>
      <c r="O43">
        <f>ROUND(($C43*Loss_Constants!$B$2+$D43*Loss_Constants!$B$3+$E43*Loss_Constants!$B$4+$F43*Loss_Constants!$B$5)/100,1)</f>
        <v>14.7</v>
      </c>
      <c r="P43">
        <f>ROUND(($G43*Loss_Constants!$E$2+$H43*Loss_Constants!$E$3+$I43*Loss_Constants!$E$4+$J43*Loss_Constants!$E$5)/100,1)</f>
        <v>4.8</v>
      </c>
      <c r="Q43">
        <f t="shared" si="0"/>
        <v>19.5</v>
      </c>
      <c r="R43" t="s">
        <v>91</v>
      </c>
      <c r="S43" t="s">
        <v>92</v>
      </c>
    </row>
    <row r="44" spans="1:19">
      <c r="A44">
        <v>43</v>
      </c>
      <c r="B44" t="s">
        <v>193</v>
      </c>
      <c r="C44">
        <v>20</v>
      </c>
      <c r="D44">
        <v>10</v>
      </c>
      <c r="E44">
        <v>5</v>
      </c>
      <c r="F44">
        <v>65</v>
      </c>
      <c r="G44">
        <v>25</v>
      </c>
      <c r="H44">
        <v>20</v>
      </c>
      <c r="I44">
        <v>35</v>
      </c>
      <c r="J44">
        <v>20</v>
      </c>
      <c r="K44" t="s">
        <v>172</v>
      </c>
      <c r="L44" t="s">
        <v>148</v>
      </c>
      <c r="M44" t="s">
        <v>149</v>
      </c>
      <c r="N44" t="s">
        <v>140</v>
      </c>
      <c r="O44">
        <f>ROUND(($C44*Loss_Constants!$B$2+$D44*Loss_Constants!$B$3+$E44*Loss_Constants!$B$4+$F44*Loss_Constants!$B$5)/100,1)</f>
        <v>14.7</v>
      </c>
      <c r="P44">
        <f>ROUND(($G44*Loss_Constants!$E$2+$H44*Loss_Constants!$E$3+$I44*Loss_Constants!$E$4+$J44*Loss_Constants!$E$5)/100,1)</f>
        <v>5</v>
      </c>
      <c r="Q44">
        <f t="shared" si="0"/>
        <v>19.7</v>
      </c>
      <c r="R44" t="s">
        <v>89</v>
      </c>
      <c r="S44" t="s">
        <v>90</v>
      </c>
    </row>
    <row r="45" spans="1:19">
      <c r="A45">
        <v>44</v>
      </c>
      <c r="B45" t="s">
        <v>194</v>
      </c>
      <c r="C45">
        <v>15</v>
      </c>
      <c r="D45">
        <v>55</v>
      </c>
      <c r="E45">
        <v>20</v>
      </c>
      <c r="F45">
        <v>10</v>
      </c>
      <c r="G45">
        <v>45</v>
      </c>
      <c r="H45">
        <v>35</v>
      </c>
      <c r="I45">
        <v>15</v>
      </c>
      <c r="J45">
        <v>5</v>
      </c>
      <c r="K45" t="s">
        <v>134</v>
      </c>
      <c r="L45" t="s">
        <v>135</v>
      </c>
      <c r="M45" t="s">
        <v>136</v>
      </c>
      <c r="N45" t="s">
        <v>137</v>
      </c>
      <c r="O45">
        <f>ROUND(($C45*Loss_Constants!$B$2+$D45*Loss_Constants!$B$3+$E45*Loss_Constants!$B$4+$F45*Loss_Constants!$B$5)/100,1)</f>
        <v>6.4</v>
      </c>
      <c r="P45">
        <f>ROUND(($G45*Loss_Constants!$E$2+$H45*Loss_Constants!$E$3+$I45*Loss_Constants!$E$4+$J45*Loss_Constants!$E$5)/100,1)</f>
        <v>2.9</v>
      </c>
      <c r="Q45">
        <f t="shared" si="0"/>
        <v>9.3000000000000007</v>
      </c>
      <c r="R45" t="s">
        <v>1</v>
      </c>
      <c r="S45" t="s">
        <v>2</v>
      </c>
    </row>
    <row r="46" spans="1:19">
      <c r="A46">
        <v>45</v>
      </c>
      <c r="B46" t="s">
        <v>195</v>
      </c>
      <c r="C46">
        <v>25</v>
      </c>
      <c r="D46">
        <v>10</v>
      </c>
      <c r="E46">
        <v>0</v>
      </c>
      <c r="F46">
        <v>65</v>
      </c>
      <c r="G46">
        <v>10</v>
      </c>
      <c r="H46">
        <v>20</v>
      </c>
      <c r="I46">
        <v>30</v>
      </c>
      <c r="J46">
        <v>40</v>
      </c>
      <c r="K46" t="s">
        <v>147</v>
      </c>
      <c r="L46" t="s">
        <v>148</v>
      </c>
      <c r="M46" t="s">
        <v>149</v>
      </c>
      <c r="N46" t="s">
        <v>150</v>
      </c>
      <c r="O46">
        <f>ROUND(($C46*Loss_Constants!$B$2+$D46*Loss_Constants!$B$3+$E46*Loss_Constants!$B$4+$F46*Loss_Constants!$B$5)/100,1)</f>
        <v>15.1</v>
      </c>
      <c r="P46">
        <f>ROUND(($G46*Loss_Constants!$E$2+$H46*Loss_Constants!$E$3+$I46*Loss_Constants!$E$4+$J46*Loss_Constants!$E$5)/100,1)</f>
        <v>6.5</v>
      </c>
      <c r="Q46">
        <f t="shared" si="0"/>
        <v>21.6</v>
      </c>
      <c r="R46" t="s">
        <v>49</v>
      </c>
      <c r="S46" t="s">
        <v>50</v>
      </c>
    </row>
    <row r="47" spans="1:19">
      <c r="A47">
        <v>46</v>
      </c>
      <c r="B47" t="s">
        <v>196</v>
      </c>
      <c r="C47">
        <v>20</v>
      </c>
      <c r="D47">
        <v>5</v>
      </c>
      <c r="E47">
        <v>5</v>
      </c>
      <c r="F47">
        <v>70</v>
      </c>
      <c r="G47">
        <v>30</v>
      </c>
      <c r="H47">
        <v>20</v>
      </c>
      <c r="I47">
        <v>25</v>
      </c>
      <c r="J47">
        <v>25</v>
      </c>
      <c r="K47" t="s">
        <v>182</v>
      </c>
      <c r="L47" t="s">
        <v>148</v>
      </c>
      <c r="M47" t="s">
        <v>179</v>
      </c>
      <c r="N47" t="s">
        <v>174</v>
      </c>
      <c r="O47">
        <f>ROUND(($C47*Loss_Constants!$B$2+$D47*Loss_Constants!$B$3+$E47*Loss_Constants!$B$4+$F47*Loss_Constants!$B$5)/100,1)</f>
        <v>15.4</v>
      </c>
      <c r="P47">
        <f>ROUND(($G47*Loss_Constants!$E$2+$H47*Loss_Constants!$E$3+$I47*Loss_Constants!$E$4+$J47*Loss_Constants!$E$5)/100,1)</f>
        <v>4.9000000000000004</v>
      </c>
      <c r="Q47">
        <f t="shared" si="0"/>
        <v>20.3</v>
      </c>
      <c r="R47" t="s">
        <v>45</v>
      </c>
      <c r="S47" t="s">
        <v>46</v>
      </c>
    </row>
    <row r="48" spans="1:19">
      <c r="A48">
        <v>47</v>
      </c>
      <c r="B48" t="s">
        <v>197</v>
      </c>
      <c r="C48">
        <v>15</v>
      </c>
      <c r="D48">
        <v>10</v>
      </c>
      <c r="E48">
        <v>5</v>
      </c>
      <c r="F48">
        <v>70</v>
      </c>
      <c r="G48">
        <v>35</v>
      </c>
      <c r="H48">
        <v>30</v>
      </c>
      <c r="I48">
        <v>25</v>
      </c>
      <c r="J48">
        <v>10</v>
      </c>
      <c r="K48" t="s">
        <v>172</v>
      </c>
      <c r="L48" t="s">
        <v>148</v>
      </c>
      <c r="M48" t="s">
        <v>149</v>
      </c>
      <c r="N48" t="s">
        <v>174</v>
      </c>
      <c r="O48">
        <f>ROUND(($C48*Loss_Constants!$B$2+$D48*Loss_Constants!$B$3+$E48*Loss_Constants!$B$4+$F48*Loss_Constants!$B$5)/100,1)</f>
        <v>15</v>
      </c>
      <c r="P48">
        <f>ROUND(($G48*Loss_Constants!$E$2+$H48*Loss_Constants!$E$3+$I48*Loss_Constants!$E$4+$J48*Loss_Constants!$E$5)/100,1)</f>
        <v>3.8</v>
      </c>
      <c r="Q48">
        <f t="shared" si="0"/>
        <v>18.8</v>
      </c>
      <c r="R48" t="s">
        <v>57</v>
      </c>
      <c r="S48" t="s">
        <v>58</v>
      </c>
    </row>
    <row r="49" spans="1:19">
      <c r="A49">
        <v>48</v>
      </c>
      <c r="B49" t="s">
        <v>198</v>
      </c>
      <c r="C49">
        <v>20</v>
      </c>
      <c r="D49">
        <v>35</v>
      </c>
      <c r="E49">
        <v>10</v>
      </c>
      <c r="F49">
        <v>35</v>
      </c>
      <c r="G49">
        <v>20</v>
      </c>
      <c r="H49">
        <v>25</v>
      </c>
      <c r="I49">
        <v>35</v>
      </c>
      <c r="J49">
        <v>20</v>
      </c>
      <c r="K49" t="s">
        <v>134</v>
      </c>
      <c r="L49" t="s">
        <v>165</v>
      </c>
      <c r="M49" t="s">
        <v>149</v>
      </c>
      <c r="N49" t="s">
        <v>137</v>
      </c>
      <c r="O49">
        <f>ROUND(($C49*Loss_Constants!$B$2+$D49*Loss_Constants!$B$3+$E49*Loss_Constants!$B$4+$F49*Loss_Constants!$B$5)/100,1)</f>
        <v>10.4</v>
      </c>
      <c r="P49">
        <f>ROUND(($G49*Loss_Constants!$E$2+$H49*Loss_Constants!$E$3+$I49*Loss_Constants!$E$4+$J49*Loss_Constants!$E$5)/100,1)</f>
        <v>5.0999999999999996</v>
      </c>
      <c r="Q49">
        <f t="shared" si="0"/>
        <v>15.5</v>
      </c>
      <c r="R49" t="s">
        <v>53</v>
      </c>
      <c r="S49" t="s">
        <v>54</v>
      </c>
    </row>
    <row r="50" spans="1:19">
      <c r="A50">
        <v>49</v>
      </c>
      <c r="B50" t="s">
        <v>199</v>
      </c>
      <c r="C50">
        <v>15</v>
      </c>
      <c r="D50">
        <v>55</v>
      </c>
      <c r="E50">
        <v>20</v>
      </c>
      <c r="F50">
        <v>10</v>
      </c>
      <c r="G50">
        <v>45</v>
      </c>
      <c r="H50">
        <v>35</v>
      </c>
      <c r="I50">
        <v>15</v>
      </c>
      <c r="J50">
        <v>5</v>
      </c>
      <c r="K50" t="s">
        <v>134</v>
      </c>
      <c r="L50" t="s">
        <v>135</v>
      </c>
      <c r="M50" t="s">
        <v>136</v>
      </c>
      <c r="N50" t="s">
        <v>137</v>
      </c>
      <c r="O50">
        <f>ROUND(($C50*Loss_Constants!$B$2+$D50*Loss_Constants!$B$3+$E50*Loss_Constants!$B$4+$F50*Loss_Constants!$B$5)/100,1)</f>
        <v>6.4</v>
      </c>
      <c r="P50">
        <f>ROUND(($G50*Loss_Constants!$E$2+$H50*Loss_Constants!$E$3+$I50*Loss_Constants!$E$4+$J50*Loss_Constants!$E$5)/100,1)</f>
        <v>2.9</v>
      </c>
      <c r="Q50">
        <f t="shared" si="0"/>
        <v>9.3000000000000007</v>
      </c>
      <c r="R50" t="s">
        <v>1</v>
      </c>
      <c r="S50" t="s">
        <v>2</v>
      </c>
    </row>
    <row r="51" spans="1:19">
      <c r="A51">
        <v>50</v>
      </c>
      <c r="B51" t="s">
        <v>200</v>
      </c>
      <c r="C51">
        <v>20</v>
      </c>
      <c r="D51">
        <v>25</v>
      </c>
      <c r="E51">
        <v>0</v>
      </c>
      <c r="F51">
        <v>55</v>
      </c>
      <c r="G51">
        <v>10</v>
      </c>
      <c r="H51">
        <v>25</v>
      </c>
      <c r="I51">
        <v>35</v>
      </c>
      <c r="J51">
        <v>30</v>
      </c>
      <c r="K51" t="s">
        <v>134</v>
      </c>
      <c r="L51" t="s">
        <v>148</v>
      </c>
      <c r="M51" t="s">
        <v>136</v>
      </c>
      <c r="N51" t="s">
        <v>137</v>
      </c>
      <c r="O51">
        <f>ROUND(($C51*Loss_Constants!$B$2+$D51*Loss_Constants!$B$3+$E51*Loss_Constants!$B$4+$F51*Loss_Constants!$B$5)/100,1)</f>
        <v>13.3</v>
      </c>
      <c r="P51">
        <f>ROUND(($G51*Loss_Constants!$E$2+$H51*Loss_Constants!$E$3+$I51*Loss_Constants!$E$4+$J51*Loss_Constants!$E$5)/100,1)</f>
        <v>6</v>
      </c>
      <c r="Q51">
        <f t="shared" si="0"/>
        <v>19.3</v>
      </c>
      <c r="R51" t="s">
        <v>87</v>
      </c>
      <c r="S51" t="s">
        <v>88</v>
      </c>
    </row>
    <row r="52" spans="1:19">
      <c r="A52">
        <v>51</v>
      </c>
      <c r="B52" t="s">
        <v>201</v>
      </c>
      <c r="C52">
        <v>15</v>
      </c>
      <c r="D52">
        <v>10</v>
      </c>
      <c r="E52">
        <v>5</v>
      </c>
      <c r="F52">
        <v>70</v>
      </c>
      <c r="G52">
        <v>35</v>
      </c>
      <c r="H52">
        <v>30</v>
      </c>
      <c r="I52">
        <v>25</v>
      </c>
      <c r="J52">
        <v>10</v>
      </c>
      <c r="K52" t="s">
        <v>172</v>
      </c>
      <c r="L52" t="s">
        <v>148</v>
      </c>
      <c r="M52" t="s">
        <v>149</v>
      </c>
      <c r="N52" t="s">
        <v>174</v>
      </c>
      <c r="O52">
        <f>ROUND(($C52*Loss_Constants!$B$2+$D52*Loss_Constants!$B$3+$E52*Loss_Constants!$B$4+$F52*Loss_Constants!$B$5)/100,1)</f>
        <v>15</v>
      </c>
      <c r="P52">
        <f>ROUND(($G52*Loss_Constants!$E$2+$H52*Loss_Constants!$E$3+$I52*Loss_Constants!$E$4+$J52*Loss_Constants!$E$5)/100,1)</f>
        <v>3.8</v>
      </c>
      <c r="Q52">
        <f t="shared" si="0"/>
        <v>18.8</v>
      </c>
      <c r="R52" t="s">
        <v>57</v>
      </c>
      <c r="S52" t="s">
        <v>58</v>
      </c>
    </row>
    <row r="53" spans="1:19">
      <c r="A53">
        <v>52</v>
      </c>
      <c r="B53" t="s">
        <v>202</v>
      </c>
      <c r="C53">
        <v>20</v>
      </c>
      <c r="D53">
        <v>10</v>
      </c>
      <c r="E53">
        <v>5</v>
      </c>
      <c r="F53">
        <v>65</v>
      </c>
      <c r="G53">
        <v>25</v>
      </c>
      <c r="H53">
        <v>20</v>
      </c>
      <c r="I53">
        <v>35</v>
      </c>
      <c r="J53">
        <v>20</v>
      </c>
      <c r="K53" t="s">
        <v>172</v>
      </c>
      <c r="L53" t="s">
        <v>148</v>
      </c>
      <c r="M53" t="s">
        <v>149</v>
      </c>
      <c r="N53" t="s">
        <v>140</v>
      </c>
      <c r="O53">
        <f>ROUND(($C53*Loss_Constants!$B$2+$D53*Loss_Constants!$B$3+$E53*Loss_Constants!$B$4+$F53*Loss_Constants!$B$5)/100,1)</f>
        <v>14.7</v>
      </c>
      <c r="P53">
        <f>ROUND(($G53*Loss_Constants!$E$2+$H53*Loss_Constants!$E$3+$I53*Loss_Constants!$E$4+$J53*Loss_Constants!$E$5)/100,1)</f>
        <v>5</v>
      </c>
      <c r="Q53">
        <f t="shared" si="0"/>
        <v>19.7</v>
      </c>
      <c r="R53" t="s">
        <v>89</v>
      </c>
      <c r="S53" t="s">
        <v>90</v>
      </c>
    </row>
    <row r="54" spans="1:19">
      <c r="A54">
        <v>53</v>
      </c>
      <c r="B54" t="s">
        <v>203</v>
      </c>
      <c r="C54">
        <v>20</v>
      </c>
      <c r="D54">
        <v>35</v>
      </c>
      <c r="E54">
        <v>10</v>
      </c>
      <c r="F54">
        <v>35</v>
      </c>
      <c r="G54">
        <v>20</v>
      </c>
      <c r="H54">
        <v>25</v>
      </c>
      <c r="I54">
        <v>35</v>
      </c>
      <c r="J54">
        <v>20</v>
      </c>
      <c r="K54" t="s">
        <v>134</v>
      </c>
      <c r="L54" t="s">
        <v>165</v>
      </c>
      <c r="M54" t="s">
        <v>149</v>
      </c>
      <c r="N54" t="s">
        <v>137</v>
      </c>
      <c r="O54">
        <f>ROUND(($C54*Loss_Constants!$B$2+$D54*Loss_Constants!$B$3+$E54*Loss_Constants!$B$4+$F54*Loss_Constants!$B$5)/100,1)</f>
        <v>10.4</v>
      </c>
      <c r="P54">
        <f>ROUND(($G54*Loss_Constants!$E$2+$H54*Loss_Constants!$E$3+$I54*Loss_Constants!$E$4+$J54*Loss_Constants!$E$5)/100,1)</f>
        <v>5.0999999999999996</v>
      </c>
      <c r="Q54">
        <f t="shared" si="0"/>
        <v>15.5</v>
      </c>
      <c r="R54" t="s">
        <v>53</v>
      </c>
      <c r="S54" t="s">
        <v>54</v>
      </c>
    </row>
    <row r="55" spans="1:19">
      <c r="A55">
        <v>54</v>
      </c>
      <c r="B55" t="s">
        <v>204</v>
      </c>
      <c r="C55">
        <v>20</v>
      </c>
      <c r="D55">
        <v>10</v>
      </c>
      <c r="E55">
        <v>5</v>
      </c>
      <c r="F55">
        <v>65</v>
      </c>
      <c r="G55">
        <v>25</v>
      </c>
      <c r="H55">
        <v>25</v>
      </c>
      <c r="I55">
        <v>30</v>
      </c>
      <c r="J55">
        <v>20</v>
      </c>
      <c r="K55" t="s">
        <v>172</v>
      </c>
      <c r="L55" t="s">
        <v>148</v>
      </c>
      <c r="M55" t="s">
        <v>149</v>
      </c>
      <c r="N55" t="s">
        <v>137</v>
      </c>
      <c r="O55">
        <f>ROUND(($C55*Loss_Constants!$B$2+$D55*Loss_Constants!$B$3+$E55*Loss_Constants!$B$4+$F55*Loss_Constants!$B$5)/100,1)</f>
        <v>14.7</v>
      </c>
      <c r="P55">
        <f>ROUND(($G55*Loss_Constants!$E$2+$H55*Loss_Constants!$E$3+$I55*Loss_Constants!$E$4+$J55*Loss_Constants!$E$5)/100,1)</f>
        <v>4.8</v>
      </c>
      <c r="Q55">
        <f t="shared" si="0"/>
        <v>19.5</v>
      </c>
      <c r="R55" t="s">
        <v>91</v>
      </c>
      <c r="S55" t="s">
        <v>92</v>
      </c>
    </row>
    <row r="56" spans="1:19">
      <c r="A56">
        <v>55</v>
      </c>
      <c r="B56" t="s">
        <v>205</v>
      </c>
      <c r="C56">
        <v>20</v>
      </c>
      <c r="D56">
        <v>5</v>
      </c>
      <c r="E56">
        <v>5</v>
      </c>
      <c r="F56">
        <v>70</v>
      </c>
      <c r="G56">
        <v>15</v>
      </c>
      <c r="H56">
        <v>20</v>
      </c>
      <c r="I56">
        <v>35</v>
      </c>
      <c r="J56">
        <v>30</v>
      </c>
      <c r="K56" t="s">
        <v>182</v>
      </c>
      <c r="L56" t="s">
        <v>148</v>
      </c>
      <c r="M56" t="s">
        <v>149</v>
      </c>
      <c r="N56" t="s">
        <v>140</v>
      </c>
      <c r="O56">
        <f>ROUND(($C56*Loss_Constants!$B$2+$D56*Loss_Constants!$B$3+$E56*Loss_Constants!$B$4+$F56*Loss_Constants!$B$5)/100,1)</f>
        <v>15.4</v>
      </c>
      <c r="P56">
        <f>ROUND(($G56*Loss_Constants!$E$2+$H56*Loss_Constants!$E$3+$I56*Loss_Constants!$E$4+$J56*Loss_Constants!$E$5)/100,1)</f>
        <v>5.9</v>
      </c>
      <c r="Q56">
        <f t="shared" si="0"/>
        <v>21.3</v>
      </c>
      <c r="R56" t="s">
        <v>13</v>
      </c>
      <c r="S56" t="s">
        <v>14</v>
      </c>
    </row>
    <row r="57" spans="1:19">
      <c r="A57">
        <v>56</v>
      </c>
      <c r="B57" t="s">
        <v>206</v>
      </c>
      <c r="C57">
        <v>20</v>
      </c>
      <c r="D57">
        <v>10</v>
      </c>
      <c r="E57">
        <v>5</v>
      </c>
      <c r="F57">
        <v>65</v>
      </c>
      <c r="G57">
        <v>25</v>
      </c>
      <c r="H57">
        <v>20</v>
      </c>
      <c r="I57">
        <v>35</v>
      </c>
      <c r="J57">
        <v>20</v>
      </c>
      <c r="K57" t="s">
        <v>172</v>
      </c>
      <c r="L57" t="s">
        <v>148</v>
      </c>
      <c r="M57" t="s">
        <v>149</v>
      </c>
      <c r="N57" t="s">
        <v>140</v>
      </c>
      <c r="O57">
        <f>ROUND(($C57*Loss_Constants!$B$2+$D57*Loss_Constants!$B$3+$E57*Loss_Constants!$B$4+$F57*Loss_Constants!$B$5)/100,1)</f>
        <v>14.7</v>
      </c>
      <c r="P57">
        <f>ROUND(($G57*Loss_Constants!$E$2+$H57*Loss_Constants!$E$3+$I57*Loss_Constants!$E$4+$J57*Loss_Constants!$E$5)/100,1)</f>
        <v>5</v>
      </c>
      <c r="Q57">
        <f t="shared" si="0"/>
        <v>19.7</v>
      </c>
      <c r="R57" t="s">
        <v>89</v>
      </c>
      <c r="S57" t="s">
        <v>90</v>
      </c>
    </row>
    <row r="58" spans="1:19">
      <c r="A58">
        <v>57</v>
      </c>
      <c r="B58" t="s">
        <v>207</v>
      </c>
      <c r="C58">
        <v>20</v>
      </c>
      <c r="D58">
        <v>10</v>
      </c>
      <c r="E58">
        <v>5</v>
      </c>
      <c r="F58">
        <v>65</v>
      </c>
      <c r="G58">
        <v>25</v>
      </c>
      <c r="H58">
        <v>20</v>
      </c>
      <c r="I58">
        <v>35</v>
      </c>
      <c r="J58">
        <v>20</v>
      </c>
      <c r="K58" t="s">
        <v>172</v>
      </c>
      <c r="L58" t="s">
        <v>148</v>
      </c>
      <c r="M58" t="s">
        <v>149</v>
      </c>
      <c r="N58" t="s">
        <v>140</v>
      </c>
      <c r="O58">
        <f>ROUND(($C58*Loss_Constants!$B$2+$D58*Loss_Constants!$B$3+$E58*Loss_Constants!$B$4+$F58*Loss_Constants!$B$5)/100,1)</f>
        <v>14.7</v>
      </c>
      <c r="P58">
        <f>ROUND(($G58*Loss_Constants!$E$2+$H58*Loss_Constants!$E$3+$I58*Loss_Constants!$E$4+$J58*Loss_Constants!$E$5)/100,1)</f>
        <v>5</v>
      </c>
      <c r="Q58">
        <f t="shared" si="0"/>
        <v>19.7</v>
      </c>
      <c r="R58" t="s">
        <v>89</v>
      </c>
      <c r="S58" t="s">
        <v>90</v>
      </c>
    </row>
    <row r="59" spans="1:19">
      <c r="A59">
        <v>58</v>
      </c>
      <c r="B59" t="s">
        <v>208</v>
      </c>
      <c r="C59">
        <v>15</v>
      </c>
      <c r="D59">
        <v>55</v>
      </c>
      <c r="E59">
        <v>20</v>
      </c>
      <c r="F59">
        <v>10</v>
      </c>
      <c r="G59">
        <v>45</v>
      </c>
      <c r="H59">
        <v>35</v>
      </c>
      <c r="I59">
        <v>15</v>
      </c>
      <c r="J59">
        <v>5</v>
      </c>
      <c r="K59" t="s">
        <v>134</v>
      </c>
      <c r="L59" t="s">
        <v>135</v>
      </c>
      <c r="M59" t="s">
        <v>136</v>
      </c>
      <c r="N59" t="s">
        <v>137</v>
      </c>
      <c r="O59">
        <f>ROUND(($C59*Loss_Constants!$B$2+$D59*Loss_Constants!$B$3+$E59*Loss_Constants!$B$4+$F59*Loss_Constants!$B$5)/100,1)</f>
        <v>6.4</v>
      </c>
      <c r="P59">
        <f>ROUND(($G59*Loss_Constants!$E$2+$H59*Loss_Constants!$E$3+$I59*Loss_Constants!$E$4+$J59*Loss_Constants!$E$5)/100,1)</f>
        <v>2.9</v>
      </c>
      <c r="Q59">
        <f t="shared" si="0"/>
        <v>9.3000000000000007</v>
      </c>
      <c r="R59" t="s">
        <v>1</v>
      </c>
      <c r="S59" t="s">
        <v>2</v>
      </c>
    </row>
    <row r="60" spans="1:19">
      <c r="A60">
        <v>59</v>
      </c>
      <c r="B60" t="s">
        <v>209</v>
      </c>
      <c r="C60">
        <v>25</v>
      </c>
      <c r="D60">
        <v>10</v>
      </c>
      <c r="E60">
        <v>0</v>
      </c>
      <c r="F60">
        <v>65</v>
      </c>
      <c r="G60">
        <v>10</v>
      </c>
      <c r="H60">
        <v>20</v>
      </c>
      <c r="I60">
        <v>30</v>
      </c>
      <c r="J60">
        <v>40</v>
      </c>
      <c r="K60" t="s">
        <v>147</v>
      </c>
      <c r="L60" t="s">
        <v>148</v>
      </c>
      <c r="M60" t="s">
        <v>149</v>
      </c>
      <c r="N60" t="s">
        <v>150</v>
      </c>
      <c r="O60">
        <f>ROUND(($C60*Loss_Constants!$B$2+$D60*Loss_Constants!$B$3+$E60*Loss_Constants!$B$4+$F60*Loss_Constants!$B$5)/100,1)</f>
        <v>15.1</v>
      </c>
      <c r="P60">
        <f>ROUND(($G60*Loss_Constants!$E$2+$H60*Loss_Constants!$E$3+$I60*Loss_Constants!$E$4+$J60*Loss_Constants!$E$5)/100,1)</f>
        <v>6.5</v>
      </c>
      <c r="Q60">
        <f t="shared" si="0"/>
        <v>21.6</v>
      </c>
      <c r="R60" t="s">
        <v>49</v>
      </c>
      <c r="S60" t="s">
        <v>50</v>
      </c>
    </row>
    <row r="61" spans="1:19">
      <c r="A61">
        <v>60</v>
      </c>
      <c r="B61" t="s">
        <v>210</v>
      </c>
      <c r="C61">
        <v>20</v>
      </c>
      <c r="D61">
        <v>5</v>
      </c>
      <c r="E61">
        <v>5</v>
      </c>
      <c r="F61">
        <v>70</v>
      </c>
      <c r="G61">
        <v>15</v>
      </c>
      <c r="H61">
        <v>20</v>
      </c>
      <c r="I61">
        <v>35</v>
      </c>
      <c r="J61">
        <v>30</v>
      </c>
      <c r="K61" t="s">
        <v>182</v>
      </c>
      <c r="L61" t="s">
        <v>148</v>
      </c>
      <c r="M61" t="s">
        <v>149</v>
      </c>
      <c r="N61" t="s">
        <v>140</v>
      </c>
      <c r="O61">
        <f>ROUND(($C61*Loss_Constants!$B$2+$D61*Loss_Constants!$B$3+$E61*Loss_Constants!$B$4+$F61*Loss_Constants!$B$5)/100,1)</f>
        <v>15.4</v>
      </c>
      <c r="P61">
        <f>ROUND(($G61*Loss_Constants!$E$2+$H61*Loss_Constants!$E$3+$I61*Loss_Constants!$E$4+$J61*Loss_Constants!$E$5)/100,1)</f>
        <v>5.9</v>
      </c>
      <c r="Q61">
        <f t="shared" si="0"/>
        <v>21.3</v>
      </c>
      <c r="R61" t="s">
        <v>13</v>
      </c>
      <c r="S61" t="s">
        <v>14</v>
      </c>
    </row>
    <row r="62" spans="1:19">
      <c r="A62">
        <v>61</v>
      </c>
      <c r="B62" t="s">
        <v>211</v>
      </c>
      <c r="C62">
        <v>20</v>
      </c>
      <c r="D62">
        <v>10</v>
      </c>
      <c r="E62">
        <v>5</v>
      </c>
      <c r="F62">
        <v>65</v>
      </c>
      <c r="G62">
        <v>25</v>
      </c>
      <c r="H62">
        <v>20</v>
      </c>
      <c r="I62">
        <v>35</v>
      </c>
      <c r="J62">
        <v>20</v>
      </c>
      <c r="K62" t="s">
        <v>172</v>
      </c>
      <c r="L62" t="s">
        <v>148</v>
      </c>
      <c r="M62" t="s">
        <v>149</v>
      </c>
      <c r="N62" t="s">
        <v>140</v>
      </c>
      <c r="O62">
        <f>ROUND(($C62*Loss_Constants!$B$2+$D62*Loss_Constants!$B$3+$E62*Loss_Constants!$B$4+$F62*Loss_Constants!$B$5)/100,1)</f>
        <v>14.7</v>
      </c>
      <c r="P62">
        <f>ROUND(($G62*Loss_Constants!$E$2+$H62*Loss_Constants!$E$3+$I62*Loss_Constants!$E$4+$J62*Loss_Constants!$E$5)/100,1)</f>
        <v>5</v>
      </c>
      <c r="Q62">
        <f t="shared" si="0"/>
        <v>19.7</v>
      </c>
      <c r="R62" t="s">
        <v>89</v>
      </c>
      <c r="S62" t="s">
        <v>90</v>
      </c>
    </row>
    <row r="63" spans="1:19">
      <c r="A63">
        <v>62</v>
      </c>
      <c r="B63" t="s">
        <v>212</v>
      </c>
      <c r="C63">
        <v>20</v>
      </c>
      <c r="D63">
        <v>10</v>
      </c>
      <c r="E63">
        <v>5</v>
      </c>
      <c r="F63">
        <v>65</v>
      </c>
      <c r="G63">
        <v>25</v>
      </c>
      <c r="H63">
        <v>20</v>
      </c>
      <c r="I63">
        <v>35</v>
      </c>
      <c r="J63">
        <v>20</v>
      </c>
      <c r="K63" t="s">
        <v>172</v>
      </c>
      <c r="L63" t="s">
        <v>148</v>
      </c>
      <c r="M63" t="s">
        <v>149</v>
      </c>
      <c r="N63" t="s">
        <v>140</v>
      </c>
      <c r="O63">
        <f>ROUND(($C63*Loss_Constants!$B$2+$D63*Loss_Constants!$B$3+$E63*Loss_Constants!$B$4+$F63*Loss_Constants!$B$5)/100,1)</f>
        <v>14.7</v>
      </c>
      <c r="P63">
        <f>ROUND(($G63*Loss_Constants!$E$2+$H63*Loss_Constants!$E$3+$I63*Loss_Constants!$E$4+$J63*Loss_Constants!$E$5)/100,1)</f>
        <v>5</v>
      </c>
      <c r="Q63">
        <f t="shared" si="0"/>
        <v>19.7</v>
      </c>
      <c r="R63" t="s">
        <v>89</v>
      </c>
      <c r="S63" t="s">
        <v>90</v>
      </c>
    </row>
    <row r="64" spans="1:19">
      <c r="A64">
        <v>63</v>
      </c>
      <c r="B64" t="s">
        <v>213</v>
      </c>
      <c r="C64">
        <v>30</v>
      </c>
      <c r="D64">
        <v>35</v>
      </c>
      <c r="E64">
        <v>5</v>
      </c>
      <c r="F64">
        <v>30</v>
      </c>
      <c r="G64">
        <v>20</v>
      </c>
      <c r="H64">
        <v>25</v>
      </c>
      <c r="I64">
        <v>35</v>
      </c>
      <c r="J64">
        <v>20</v>
      </c>
      <c r="K64" t="s">
        <v>134</v>
      </c>
      <c r="L64" t="s">
        <v>178</v>
      </c>
      <c r="M64" t="s">
        <v>179</v>
      </c>
      <c r="N64" t="s">
        <v>137</v>
      </c>
      <c r="O64">
        <f>ROUND(($C64*Loss_Constants!$B$2+$D64*Loss_Constants!$B$3+$E64*Loss_Constants!$B$4+$F64*Loss_Constants!$B$5)/100,1)</f>
        <v>10.6</v>
      </c>
      <c r="P64">
        <f>ROUND(($G64*Loss_Constants!$E$2+$H64*Loss_Constants!$E$3+$I64*Loss_Constants!$E$4+$J64*Loss_Constants!$E$5)/100,1)</f>
        <v>5.0999999999999996</v>
      </c>
      <c r="Q64">
        <f t="shared" si="0"/>
        <v>15.7</v>
      </c>
      <c r="R64" t="s">
        <v>41</v>
      </c>
      <c r="S64" t="s">
        <v>42</v>
      </c>
    </row>
    <row r="65" spans="1:19">
      <c r="A65">
        <v>64</v>
      </c>
      <c r="B65" t="s">
        <v>214</v>
      </c>
      <c r="C65">
        <v>20</v>
      </c>
      <c r="D65">
        <v>10</v>
      </c>
      <c r="E65">
        <v>5</v>
      </c>
      <c r="F65">
        <v>65</v>
      </c>
      <c r="G65">
        <v>25</v>
      </c>
      <c r="H65">
        <v>25</v>
      </c>
      <c r="I65">
        <v>30</v>
      </c>
      <c r="J65">
        <v>20</v>
      </c>
      <c r="K65" t="s">
        <v>172</v>
      </c>
      <c r="L65" t="s">
        <v>148</v>
      </c>
      <c r="M65" t="s">
        <v>149</v>
      </c>
      <c r="N65" t="s">
        <v>137</v>
      </c>
      <c r="O65">
        <f>ROUND(($C65*Loss_Constants!$B$2+$D65*Loss_Constants!$B$3+$E65*Loss_Constants!$B$4+$F65*Loss_Constants!$B$5)/100,1)</f>
        <v>14.7</v>
      </c>
      <c r="P65">
        <f>ROUND(($G65*Loss_Constants!$E$2+$H65*Loss_Constants!$E$3+$I65*Loss_Constants!$E$4+$J65*Loss_Constants!$E$5)/100,1)</f>
        <v>4.8</v>
      </c>
      <c r="Q65">
        <f t="shared" si="0"/>
        <v>19.5</v>
      </c>
      <c r="R65" t="s">
        <v>91</v>
      </c>
      <c r="S65" t="s">
        <v>92</v>
      </c>
    </row>
    <row r="66" spans="1:19">
      <c r="A66">
        <v>65</v>
      </c>
      <c r="B66" t="s">
        <v>215</v>
      </c>
      <c r="C66">
        <v>20</v>
      </c>
      <c r="D66">
        <v>5</v>
      </c>
      <c r="E66">
        <v>5</v>
      </c>
      <c r="F66">
        <v>70</v>
      </c>
      <c r="G66">
        <v>30</v>
      </c>
      <c r="H66">
        <v>20</v>
      </c>
      <c r="I66">
        <v>25</v>
      </c>
      <c r="J66">
        <v>25</v>
      </c>
      <c r="K66" t="s">
        <v>182</v>
      </c>
      <c r="L66" t="s">
        <v>148</v>
      </c>
      <c r="M66" t="s">
        <v>179</v>
      </c>
      <c r="N66" t="s">
        <v>174</v>
      </c>
      <c r="O66">
        <f>ROUND(($C66*Loss_Constants!$B$2+$D66*Loss_Constants!$B$3+$E66*Loss_Constants!$B$4+$F66*Loss_Constants!$B$5)/100,1)</f>
        <v>15.4</v>
      </c>
      <c r="P66">
        <f>ROUND(($G66*Loss_Constants!$E$2+$H66*Loss_Constants!$E$3+$I66*Loss_Constants!$E$4+$J66*Loss_Constants!$E$5)/100,1)</f>
        <v>4.9000000000000004</v>
      </c>
      <c r="Q66">
        <f t="shared" ref="Q66:Q129" si="1">ROUND(O66+P66,1)</f>
        <v>20.3</v>
      </c>
      <c r="R66" t="s">
        <v>45</v>
      </c>
      <c r="S66" t="s">
        <v>46</v>
      </c>
    </row>
    <row r="67" spans="1:19">
      <c r="A67">
        <v>66</v>
      </c>
      <c r="B67" t="s">
        <v>216</v>
      </c>
      <c r="C67">
        <v>20</v>
      </c>
      <c r="D67">
        <v>5</v>
      </c>
      <c r="E67">
        <v>5</v>
      </c>
      <c r="F67">
        <v>70</v>
      </c>
      <c r="G67">
        <v>30</v>
      </c>
      <c r="H67">
        <v>20</v>
      </c>
      <c r="I67">
        <v>25</v>
      </c>
      <c r="J67">
        <v>25</v>
      </c>
      <c r="K67" t="s">
        <v>182</v>
      </c>
      <c r="L67" t="s">
        <v>148</v>
      </c>
      <c r="M67" t="s">
        <v>179</v>
      </c>
      <c r="N67" t="s">
        <v>174</v>
      </c>
      <c r="O67">
        <f>ROUND(($C67*Loss_Constants!$B$2+$D67*Loss_Constants!$B$3+$E67*Loss_Constants!$B$4+$F67*Loss_Constants!$B$5)/100,1)</f>
        <v>15.4</v>
      </c>
      <c r="P67">
        <f>ROUND(($G67*Loss_Constants!$E$2+$H67*Loss_Constants!$E$3+$I67*Loss_Constants!$E$4+$J67*Loss_Constants!$E$5)/100,1)</f>
        <v>4.9000000000000004</v>
      </c>
      <c r="Q67">
        <f t="shared" si="1"/>
        <v>20.3</v>
      </c>
      <c r="R67" t="s">
        <v>45</v>
      </c>
      <c r="S67" t="s">
        <v>46</v>
      </c>
    </row>
    <row r="68" spans="1:19">
      <c r="A68">
        <v>67</v>
      </c>
      <c r="B68" t="s">
        <v>217</v>
      </c>
      <c r="C68">
        <v>20</v>
      </c>
      <c r="D68">
        <v>5</v>
      </c>
      <c r="E68">
        <v>5</v>
      </c>
      <c r="F68">
        <v>70</v>
      </c>
      <c r="G68">
        <v>30</v>
      </c>
      <c r="H68">
        <v>20</v>
      </c>
      <c r="I68">
        <v>25</v>
      </c>
      <c r="J68">
        <v>25</v>
      </c>
      <c r="K68" t="s">
        <v>182</v>
      </c>
      <c r="L68" t="s">
        <v>148</v>
      </c>
      <c r="M68" t="s">
        <v>179</v>
      </c>
      <c r="N68" t="s">
        <v>174</v>
      </c>
      <c r="O68">
        <f>ROUND(($C68*Loss_Constants!$B$2+$D68*Loss_Constants!$B$3+$E68*Loss_Constants!$B$4+$F68*Loss_Constants!$B$5)/100,1)</f>
        <v>15.4</v>
      </c>
      <c r="P68">
        <f>ROUND(($G68*Loss_Constants!$E$2+$H68*Loss_Constants!$E$3+$I68*Loss_Constants!$E$4+$J68*Loss_Constants!$E$5)/100,1)</f>
        <v>4.9000000000000004</v>
      </c>
      <c r="Q68">
        <f t="shared" si="1"/>
        <v>20.3</v>
      </c>
      <c r="R68" t="s">
        <v>45</v>
      </c>
      <c r="S68" t="s">
        <v>46</v>
      </c>
    </row>
    <row r="69" spans="1:19">
      <c r="A69">
        <v>68</v>
      </c>
      <c r="B69" t="s">
        <v>218</v>
      </c>
      <c r="C69">
        <v>20</v>
      </c>
      <c r="D69">
        <v>10</v>
      </c>
      <c r="E69">
        <v>5</v>
      </c>
      <c r="F69">
        <v>65</v>
      </c>
      <c r="G69">
        <v>25</v>
      </c>
      <c r="H69">
        <v>20</v>
      </c>
      <c r="I69">
        <v>35</v>
      </c>
      <c r="J69">
        <v>20</v>
      </c>
      <c r="K69" t="s">
        <v>172</v>
      </c>
      <c r="L69" t="s">
        <v>148</v>
      </c>
      <c r="M69" t="s">
        <v>149</v>
      </c>
      <c r="N69" t="s">
        <v>140</v>
      </c>
      <c r="O69">
        <f>ROUND(($C69*Loss_Constants!$B$2+$D69*Loss_Constants!$B$3+$E69*Loss_Constants!$B$4+$F69*Loss_Constants!$B$5)/100,1)</f>
        <v>14.7</v>
      </c>
      <c r="P69">
        <f>ROUND(($G69*Loss_Constants!$E$2+$H69*Loss_Constants!$E$3+$I69*Loss_Constants!$E$4+$J69*Loss_Constants!$E$5)/100,1)</f>
        <v>5</v>
      </c>
      <c r="Q69">
        <f t="shared" si="1"/>
        <v>19.7</v>
      </c>
      <c r="R69" t="s">
        <v>89</v>
      </c>
      <c r="S69" t="s">
        <v>90</v>
      </c>
    </row>
    <row r="70" spans="1:19">
      <c r="A70">
        <v>69</v>
      </c>
      <c r="B70" t="s">
        <v>219</v>
      </c>
      <c r="C70">
        <v>25</v>
      </c>
      <c r="D70">
        <v>20</v>
      </c>
      <c r="E70">
        <v>5</v>
      </c>
      <c r="F70">
        <v>50</v>
      </c>
      <c r="G70">
        <v>45</v>
      </c>
      <c r="H70">
        <v>25</v>
      </c>
      <c r="I70">
        <v>20</v>
      </c>
      <c r="J70">
        <v>10</v>
      </c>
      <c r="K70" t="s">
        <v>134</v>
      </c>
      <c r="L70" t="s">
        <v>220</v>
      </c>
      <c r="M70" t="s">
        <v>179</v>
      </c>
      <c r="N70" t="s">
        <v>150</v>
      </c>
      <c r="O70">
        <f>ROUND(($C70*Loss_Constants!$B$2+$D70*Loss_Constants!$B$3+$E70*Loss_Constants!$B$4+$F70*Loss_Constants!$B$5)/100,1)</f>
        <v>13</v>
      </c>
      <c r="P70">
        <f>ROUND(($G70*Loss_Constants!$E$2+$H70*Loss_Constants!$E$3+$I70*Loss_Constants!$E$4+$J70*Loss_Constants!$E$5)/100,1)</f>
        <v>3.4</v>
      </c>
      <c r="Q70">
        <f t="shared" si="1"/>
        <v>16.399999999999999</v>
      </c>
      <c r="R70" t="s">
        <v>15</v>
      </c>
      <c r="S70" t="s">
        <v>16</v>
      </c>
    </row>
    <row r="71" spans="1:19">
      <c r="A71">
        <v>70</v>
      </c>
      <c r="B71" t="s">
        <v>116</v>
      </c>
      <c r="C71">
        <v>30</v>
      </c>
      <c r="D71">
        <v>5</v>
      </c>
      <c r="E71">
        <v>0</v>
      </c>
      <c r="F71">
        <v>65</v>
      </c>
      <c r="G71">
        <v>15</v>
      </c>
      <c r="H71">
        <v>15</v>
      </c>
      <c r="I71">
        <v>35</v>
      </c>
      <c r="J71">
        <v>35</v>
      </c>
      <c r="K71" t="s">
        <v>134</v>
      </c>
      <c r="L71" t="s">
        <v>220</v>
      </c>
      <c r="M71" t="s">
        <v>179</v>
      </c>
      <c r="N71" t="s">
        <v>150</v>
      </c>
      <c r="O71">
        <f>ROUND(($C71*Loss_Constants!$B$2+$D71*Loss_Constants!$B$3+$E71*Loss_Constants!$B$4+$F71*Loss_Constants!$B$5)/100,1)</f>
        <v>15.5</v>
      </c>
      <c r="P71">
        <f>ROUND(($G71*Loss_Constants!$E$2+$H71*Loss_Constants!$E$3+$I71*Loss_Constants!$E$4+$J71*Loss_Constants!$E$5)/100,1)</f>
        <v>6.2</v>
      </c>
      <c r="Q71">
        <f t="shared" si="1"/>
        <v>21.7</v>
      </c>
      <c r="R71" t="s">
        <v>17</v>
      </c>
      <c r="S71" t="s">
        <v>18</v>
      </c>
    </row>
    <row r="72" spans="1:19">
      <c r="A72">
        <v>71</v>
      </c>
      <c r="B72" t="s">
        <v>221</v>
      </c>
      <c r="C72">
        <v>25</v>
      </c>
      <c r="D72">
        <v>45</v>
      </c>
      <c r="E72">
        <v>5</v>
      </c>
      <c r="F72">
        <v>25</v>
      </c>
      <c r="G72">
        <v>30</v>
      </c>
      <c r="H72">
        <v>40</v>
      </c>
      <c r="I72">
        <v>20</v>
      </c>
      <c r="J72">
        <v>10</v>
      </c>
      <c r="K72" t="s">
        <v>134</v>
      </c>
      <c r="L72" t="s">
        <v>220</v>
      </c>
      <c r="M72" t="s">
        <v>136</v>
      </c>
      <c r="N72" t="s">
        <v>137</v>
      </c>
      <c r="O72">
        <f>ROUND(($C72*Loss_Constants!$B$2+$D72*Loss_Constants!$B$3+$E72*Loss_Constants!$B$4+$F72*Loss_Constants!$B$5)/100,1)</f>
        <v>9.5</v>
      </c>
      <c r="P72">
        <f>ROUND(($G72*Loss_Constants!$E$2+$H72*Loss_Constants!$E$3+$I72*Loss_Constants!$E$4+$J72*Loss_Constants!$E$5)/100,1)</f>
        <v>3.7</v>
      </c>
      <c r="Q72">
        <f t="shared" si="1"/>
        <v>13.2</v>
      </c>
      <c r="R72" t="s">
        <v>29</v>
      </c>
      <c r="S72" t="s">
        <v>30</v>
      </c>
    </row>
    <row r="73" spans="1:19">
      <c r="A73">
        <v>72</v>
      </c>
      <c r="B73" t="s">
        <v>222</v>
      </c>
      <c r="C73">
        <v>20</v>
      </c>
      <c r="D73">
        <v>35</v>
      </c>
      <c r="E73">
        <v>10</v>
      </c>
      <c r="F73">
        <v>35</v>
      </c>
      <c r="G73">
        <v>20</v>
      </c>
      <c r="H73">
        <v>25</v>
      </c>
      <c r="I73">
        <v>35</v>
      </c>
      <c r="J73">
        <v>20</v>
      </c>
      <c r="K73" t="s">
        <v>134</v>
      </c>
      <c r="L73" t="s">
        <v>165</v>
      </c>
      <c r="M73" t="s">
        <v>149</v>
      </c>
      <c r="N73" t="s">
        <v>137</v>
      </c>
      <c r="O73">
        <f>ROUND(($C73*Loss_Constants!$B$2+$D73*Loss_Constants!$B$3+$E73*Loss_Constants!$B$4+$F73*Loss_Constants!$B$5)/100,1)</f>
        <v>10.4</v>
      </c>
      <c r="P73">
        <f>ROUND(($G73*Loss_Constants!$E$2+$H73*Loss_Constants!$E$3+$I73*Loss_Constants!$E$4+$J73*Loss_Constants!$E$5)/100,1)</f>
        <v>5.0999999999999996</v>
      </c>
      <c r="Q73">
        <f t="shared" si="1"/>
        <v>15.5</v>
      </c>
      <c r="R73" t="s">
        <v>53</v>
      </c>
      <c r="S73" t="s">
        <v>54</v>
      </c>
    </row>
    <row r="74" spans="1:19">
      <c r="A74">
        <v>73</v>
      </c>
      <c r="B74" t="s">
        <v>223</v>
      </c>
      <c r="C74">
        <v>30</v>
      </c>
      <c r="D74">
        <v>5</v>
      </c>
      <c r="E74">
        <v>0</v>
      </c>
      <c r="F74">
        <v>65</v>
      </c>
      <c r="G74">
        <v>15</v>
      </c>
      <c r="H74">
        <v>15</v>
      </c>
      <c r="I74">
        <v>35</v>
      </c>
      <c r="J74">
        <v>35</v>
      </c>
      <c r="K74" t="s">
        <v>134</v>
      </c>
      <c r="L74" t="s">
        <v>220</v>
      </c>
      <c r="M74" t="s">
        <v>179</v>
      </c>
      <c r="N74" t="s">
        <v>150</v>
      </c>
      <c r="O74">
        <f>ROUND(($C74*Loss_Constants!$B$2+$D74*Loss_Constants!$B$3+$E74*Loss_Constants!$B$4+$F74*Loss_Constants!$B$5)/100,1)</f>
        <v>15.5</v>
      </c>
      <c r="P74">
        <f>ROUND(($G74*Loss_Constants!$E$2+$H74*Loss_Constants!$E$3+$I74*Loss_Constants!$E$4+$J74*Loss_Constants!$E$5)/100,1)</f>
        <v>6.2</v>
      </c>
      <c r="Q74">
        <f t="shared" si="1"/>
        <v>21.7</v>
      </c>
      <c r="R74" t="s">
        <v>17</v>
      </c>
      <c r="S74" t="s">
        <v>18</v>
      </c>
    </row>
    <row r="75" spans="1:19">
      <c r="A75">
        <v>74</v>
      </c>
      <c r="B75" t="s">
        <v>224</v>
      </c>
      <c r="C75">
        <v>20</v>
      </c>
      <c r="D75">
        <v>10</v>
      </c>
      <c r="E75">
        <v>5</v>
      </c>
      <c r="F75">
        <v>65</v>
      </c>
      <c r="G75">
        <v>25</v>
      </c>
      <c r="H75">
        <v>20</v>
      </c>
      <c r="I75">
        <v>35</v>
      </c>
      <c r="J75">
        <v>20</v>
      </c>
      <c r="K75" t="s">
        <v>172</v>
      </c>
      <c r="L75" t="s">
        <v>148</v>
      </c>
      <c r="M75" t="s">
        <v>149</v>
      </c>
      <c r="N75" t="s">
        <v>140</v>
      </c>
      <c r="O75">
        <f>ROUND(($C75*Loss_Constants!$B$2+$D75*Loss_Constants!$B$3+$E75*Loss_Constants!$B$4+$F75*Loss_Constants!$B$5)/100,1)</f>
        <v>14.7</v>
      </c>
      <c r="P75">
        <f>ROUND(($G75*Loss_Constants!$E$2+$H75*Loss_Constants!$E$3+$I75*Loss_Constants!$E$4+$J75*Loss_Constants!$E$5)/100,1)</f>
        <v>5</v>
      </c>
      <c r="Q75">
        <f t="shared" si="1"/>
        <v>19.7</v>
      </c>
      <c r="R75" t="s">
        <v>89</v>
      </c>
      <c r="S75" t="s">
        <v>90</v>
      </c>
    </row>
    <row r="76" spans="1:19">
      <c r="A76">
        <v>75</v>
      </c>
      <c r="B76" t="s">
        <v>225</v>
      </c>
      <c r="C76">
        <v>25</v>
      </c>
      <c r="D76">
        <v>20</v>
      </c>
      <c r="E76">
        <v>5</v>
      </c>
      <c r="F76">
        <v>50</v>
      </c>
      <c r="G76">
        <v>45</v>
      </c>
      <c r="H76">
        <v>25</v>
      </c>
      <c r="I76">
        <v>20</v>
      </c>
      <c r="J76">
        <v>10</v>
      </c>
      <c r="K76" t="s">
        <v>134</v>
      </c>
      <c r="L76" t="s">
        <v>220</v>
      </c>
      <c r="M76" t="s">
        <v>179</v>
      </c>
      <c r="N76" t="s">
        <v>150</v>
      </c>
      <c r="O76">
        <f>ROUND(($C76*Loss_Constants!$B$2+$D76*Loss_Constants!$B$3+$E76*Loss_Constants!$B$4+$F76*Loss_Constants!$B$5)/100,1)</f>
        <v>13</v>
      </c>
      <c r="P76">
        <f>ROUND(($G76*Loss_Constants!$E$2+$H76*Loss_Constants!$E$3+$I76*Loss_Constants!$E$4+$J76*Loss_Constants!$E$5)/100,1)</f>
        <v>3.4</v>
      </c>
      <c r="Q76">
        <f t="shared" si="1"/>
        <v>16.399999999999999</v>
      </c>
      <c r="R76" t="s">
        <v>15</v>
      </c>
      <c r="S76" t="s">
        <v>16</v>
      </c>
    </row>
    <row r="77" spans="1:19">
      <c r="A77">
        <v>76</v>
      </c>
      <c r="B77" t="s">
        <v>226</v>
      </c>
      <c r="C77">
        <v>25</v>
      </c>
      <c r="D77">
        <v>45</v>
      </c>
      <c r="E77">
        <v>5</v>
      </c>
      <c r="F77">
        <v>25</v>
      </c>
      <c r="G77">
        <v>30</v>
      </c>
      <c r="H77">
        <v>40</v>
      </c>
      <c r="I77">
        <v>20</v>
      </c>
      <c r="J77">
        <v>10</v>
      </c>
      <c r="K77" t="s">
        <v>134</v>
      </c>
      <c r="L77" t="s">
        <v>220</v>
      </c>
      <c r="M77" t="s">
        <v>136</v>
      </c>
      <c r="N77" t="s">
        <v>137</v>
      </c>
      <c r="O77">
        <f>ROUND(($C77*Loss_Constants!$B$2+$D77*Loss_Constants!$B$3+$E77*Loss_Constants!$B$4+$F77*Loss_Constants!$B$5)/100,1)</f>
        <v>9.5</v>
      </c>
      <c r="P77">
        <f>ROUND(($G77*Loss_Constants!$E$2+$H77*Loss_Constants!$E$3+$I77*Loss_Constants!$E$4+$J77*Loss_Constants!$E$5)/100,1)</f>
        <v>3.7</v>
      </c>
      <c r="Q77">
        <f t="shared" si="1"/>
        <v>13.2</v>
      </c>
      <c r="R77" t="s">
        <v>29</v>
      </c>
      <c r="S77" t="s">
        <v>30</v>
      </c>
    </row>
    <row r="78" spans="1:19">
      <c r="A78">
        <v>77</v>
      </c>
      <c r="B78" t="s">
        <v>227</v>
      </c>
      <c r="C78">
        <v>20</v>
      </c>
      <c r="D78">
        <v>35</v>
      </c>
      <c r="E78">
        <v>10</v>
      </c>
      <c r="F78">
        <v>35</v>
      </c>
      <c r="G78">
        <v>20</v>
      </c>
      <c r="H78">
        <v>25</v>
      </c>
      <c r="I78">
        <v>35</v>
      </c>
      <c r="J78">
        <v>20</v>
      </c>
      <c r="K78" t="s">
        <v>134</v>
      </c>
      <c r="L78" t="s">
        <v>165</v>
      </c>
      <c r="M78" t="s">
        <v>149</v>
      </c>
      <c r="N78" t="s">
        <v>137</v>
      </c>
      <c r="O78">
        <f>ROUND(($C78*Loss_Constants!$B$2+$D78*Loss_Constants!$B$3+$E78*Loss_Constants!$B$4+$F78*Loss_Constants!$B$5)/100,1)</f>
        <v>10.4</v>
      </c>
      <c r="P78">
        <f>ROUND(($G78*Loss_Constants!$E$2+$H78*Loss_Constants!$E$3+$I78*Loss_Constants!$E$4+$J78*Loss_Constants!$E$5)/100,1)</f>
        <v>5.0999999999999996</v>
      </c>
      <c r="Q78">
        <f t="shared" si="1"/>
        <v>15.5</v>
      </c>
      <c r="R78" t="s">
        <v>53</v>
      </c>
      <c r="S78" t="s">
        <v>54</v>
      </c>
    </row>
    <row r="79" spans="1:19">
      <c r="A79">
        <v>78</v>
      </c>
      <c r="B79" t="s">
        <v>228</v>
      </c>
      <c r="C79">
        <v>15</v>
      </c>
      <c r="D79">
        <v>10</v>
      </c>
      <c r="E79">
        <v>5</v>
      </c>
      <c r="F79">
        <v>70</v>
      </c>
      <c r="G79">
        <v>35</v>
      </c>
      <c r="H79">
        <v>30</v>
      </c>
      <c r="I79">
        <v>25</v>
      </c>
      <c r="J79">
        <v>10</v>
      </c>
      <c r="K79" t="s">
        <v>172</v>
      </c>
      <c r="L79" t="s">
        <v>148</v>
      </c>
      <c r="M79" t="s">
        <v>149</v>
      </c>
      <c r="N79" t="s">
        <v>174</v>
      </c>
      <c r="O79">
        <f>ROUND(($C79*Loss_Constants!$B$2+$D79*Loss_Constants!$B$3+$E79*Loss_Constants!$B$4+$F79*Loss_Constants!$B$5)/100,1)</f>
        <v>15</v>
      </c>
      <c r="P79">
        <f>ROUND(($G79*Loss_Constants!$E$2+$H79*Loss_Constants!$E$3+$I79*Loss_Constants!$E$4+$J79*Loss_Constants!$E$5)/100,1)</f>
        <v>3.8</v>
      </c>
      <c r="Q79">
        <f t="shared" si="1"/>
        <v>18.8</v>
      </c>
      <c r="R79" t="s">
        <v>57</v>
      </c>
      <c r="S79" t="s">
        <v>58</v>
      </c>
    </row>
    <row r="80" spans="1:19">
      <c r="A80">
        <v>79</v>
      </c>
      <c r="B80" t="s">
        <v>229</v>
      </c>
      <c r="C80">
        <v>30</v>
      </c>
      <c r="D80">
        <v>5</v>
      </c>
      <c r="E80">
        <v>0</v>
      </c>
      <c r="F80">
        <v>65</v>
      </c>
      <c r="G80">
        <v>15</v>
      </c>
      <c r="H80">
        <v>15</v>
      </c>
      <c r="I80">
        <v>35</v>
      </c>
      <c r="J80">
        <v>35</v>
      </c>
      <c r="K80" t="s">
        <v>134</v>
      </c>
      <c r="L80" t="s">
        <v>220</v>
      </c>
      <c r="M80" t="s">
        <v>179</v>
      </c>
      <c r="N80" t="s">
        <v>150</v>
      </c>
      <c r="O80">
        <f>ROUND(($C80*Loss_Constants!$B$2+$D80*Loss_Constants!$B$3+$E80*Loss_Constants!$B$4+$F80*Loss_Constants!$B$5)/100,1)</f>
        <v>15.5</v>
      </c>
      <c r="P80">
        <f>ROUND(($G80*Loss_Constants!$E$2+$H80*Loss_Constants!$E$3+$I80*Loss_Constants!$E$4+$J80*Loss_Constants!$E$5)/100,1)</f>
        <v>6.2</v>
      </c>
      <c r="Q80">
        <f t="shared" si="1"/>
        <v>21.7</v>
      </c>
      <c r="R80" t="s">
        <v>17</v>
      </c>
      <c r="S80" t="s">
        <v>18</v>
      </c>
    </row>
    <row r="81" spans="1:19">
      <c r="A81">
        <v>80</v>
      </c>
      <c r="B81" t="s">
        <v>230</v>
      </c>
      <c r="C81">
        <v>20</v>
      </c>
      <c r="D81">
        <v>10</v>
      </c>
      <c r="E81">
        <v>5</v>
      </c>
      <c r="F81">
        <v>65</v>
      </c>
      <c r="G81">
        <v>25</v>
      </c>
      <c r="H81">
        <v>20</v>
      </c>
      <c r="I81">
        <v>35</v>
      </c>
      <c r="J81">
        <v>20</v>
      </c>
      <c r="K81" t="s">
        <v>172</v>
      </c>
      <c r="L81" t="s">
        <v>148</v>
      </c>
      <c r="M81" t="s">
        <v>149</v>
      </c>
      <c r="N81" t="s">
        <v>140</v>
      </c>
      <c r="O81">
        <f>ROUND(($C81*Loss_Constants!$B$2+$D81*Loss_Constants!$B$3+$E81*Loss_Constants!$B$4+$F81*Loss_Constants!$B$5)/100,1)</f>
        <v>14.7</v>
      </c>
      <c r="P81">
        <f>ROUND(($G81*Loss_Constants!$E$2+$H81*Loss_Constants!$E$3+$I81*Loss_Constants!$E$4+$J81*Loss_Constants!$E$5)/100,1)</f>
        <v>5</v>
      </c>
      <c r="Q81">
        <f t="shared" si="1"/>
        <v>19.7</v>
      </c>
      <c r="R81" t="s">
        <v>89</v>
      </c>
      <c r="S81" t="s">
        <v>90</v>
      </c>
    </row>
    <row r="82" spans="1:19">
      <c r="A82">
        <v>81</v>
      </c>
      <c r="B82" t="s">
        <v>231</v>
      </c>
      <c r="C82">
        <v>20</v>
      </c>
      <c r="D82">
        <v>5</v>
      </c>
      <c r="E82">
        <v>5</v>
      </c>
      <c r="F82">
        <v>70</v>
      </c>
      <c r="G82">
        <v>30</v>
      </c>
      <c r="H82">
        <v>20</v>
      </c>
      <c r="I82">
        <v>25</v>
      </c>
      <c r="J82">
        <v>25</v>
      </c>
      <c r="K82" t="s">
        <v>182</v>
      </c>
      <c r="L82" t="s">
        <v>148</v>
      </c>
      <c r="M82" t="s">
        <v>179</v>
      </c>
      <c r="N82" t="s">
        <v>174</v>
      </c>
      <c r="O82">
        <f>ROUND(($C82*Loss_Constants!$B$2+$D82*Loss_Constants!$B$3+$E82*Loss_Constants!$B$4+$F82*Loss_Constants!$B$5)/100,1)</f>
        <v>15.4</v>
      </c>
      <c r="P82">
        <f>ROUND(($G82*Loss_Constants!$E$2+$H82*Loss_Constants!$E$3+$I82*Loss_Constants!$E$4+$J82*Loss_Constants!$E$5)/100,1)</f>
        <v>4.9000000000000004</v>
      </c>
      <c r="Q82">
        <f t="shared" si="1"/>
        <v>20.3</v>
      </c>
      <c r="R82" t="s">
        <v>45</v>
      </c>
      <c r="S82" t="s">
        <v>46</v>
      </c>
    </row>
    <row r="83" spans="1:19">
      <c r="A83">
        <v>82</v>
      </c>
      <c r="B83" t="s">
        <v>232</v>
      </c>
      <c r="C83">
        <v>15</v>
      </c>
      <c r="D83">
        <v>55</v>
      </c>
      <c r="E83">
        <v>20</v>
      </c>
      <c r="F83">
        <v>10</v>
      </c>
      <c r="G83">
        <v>45</v>
      </c>
      <c r="H83">
        <v>35</v>
      </c>
      <c r="I83">
        <v>15</v>
      </c>
      <c r="J83">
        <v>5</v>
      </c>
      <c r="K83" t="s">
        <v>134</v>
      </c>
      <c r="L83" t="s">
        <v>135</v>
      </c>
      <c r="M83" t="s">
        <v>136</v>
      </c>
      <c r="N83" t="s">
        <v>137</v>
      </c>
      <c r="O83">
        <f>ROUND(($C83*Loss_Constants!$B$2+$D83*Loss_Constants!$B$3+$E83*Loss_Constants!$B$4+$F83*Loss_Constants!$B$5)/100,1)</f>
        <v>6.4</v>
      </c>
      <c r="P83">
        <f>ROUND(($G83*Loss_Constants!$E$2+$H83*Loss_Constants!$E$3+$I83*Loss_Constants!$E$4+$J83*Loss_Constants!$E$5)/100,1)</f>
        <v>2.9</v>
      </c>
      <c r="Q83">
        <f t="shared" si="1"/>
        <v>9.3000000000000007</v>
      </c>
      <c r="R83" t="s">
        <v>1</v>
      </c>
      <c r="S83" t="s">
        <v>2</v>
      </c>
    </row>
    <row r="84" spans="1:19">
      <c r="A84">
        <v>83</v>
      </c>
      <c r="B84" t="s">
        <v>233</v>
      </c>
      <c r="C84">
        <v>30</v>
      </c>
      <c r="D84">
        <v>5</v>
      </c>
      <c r="E84">
        <v>0</v>
      </c>
      <c r="F84">
        <v>65</v>
      </c>
      <c r="G84">
        <v>15</v>
      </c>
      <c r="H84">
        <v>15</v>
      </c>
      <c r="I84">
        <v>35</v>
      </c>
      <c r="J84">
        <v>35</v>
      </c>
      <c r="K84" t="s">
        <v>134</v>
      </c>
      <c r="L84" t="s">
        <v>220</v>
      </c>
      <c r="M84" t="s">
        <v>179</v>
      </c>
      <c r="N84" t="s">
        <v>150</v>
      </c>
      <c r="O84">
        <f>ROUND(($C84*Loss_Constants!$B$2+$D84*Loss_Constants!$B$3+$E84*Loss_Constants!$B$4+$F84*Loss_Constants!$B$5)/100,1)</f>
        <v>15.5</v>
      </c>
      <c r="P84">
        <f>ROUND(($G84*Loss_Constants!$E$2+$H84*Loss_Constants!$E$3+$I84*Loss_Constants!$E$4+$J84*Loss_Constants!$E$5)/100,1)</f>
        <v>6.2</v>
      </c>
      <c r="Q84">
        <f t="shared" si="1"/>
        <v>21.7</v>
      </c>
      <c r="R84" t="s">
        <v>17</v>
      </c>
      <c r="S84" t="s">
        <v>18</v>
      </c>
    </row>
    <row r="85" spans="1:19">
      <c r="A85">
        <v>84</v>
      </c>
      <c r="B85" t="s">
        <v>234</v>
      </c>
      <c r="C85">
        <v>30</v>
      </c>
      <c r="D85">
        <v>5</v>
      </c>
      <c r="E85">
        <v>0</v>
      </c>
      <c r="F85">
        <v>65</v>
      </c>
      <c r="G85">
        <v>15</v>
      </c>
      <c r="H85">
        <v>15</v>
      </c>
      <c r="I85">
        <v>35</v>
      </c>
      <c r="J85">
        <v>35</v>
      </c>
      <c r="K85" t="s">
        <v>134</v>
      </c>
      <c r="L85" t="s">
        <v>220</v>
      </c>
      <c r="M85" t="s">
        <v>179</v>
      </c>
      <c r="N85" t="s">
        <v>150</v>
      </c>
      <c r="O85">
        <f>ROUND(($C85*Loss_Constants!$B$2+$D85*Loss_Constants!$B$3+$E85*Loss_Constants!$B$4+$F85*Loss_Constants!$B$5)/100,1)</f>
        <v>15.5</v>
      </c>
      <c r="P85">
        <f>ROUND(($G85*Loss_Constants!$E$2+$H85*Loss_Constants!$E$3+$I85*Loss_Constants!$E$4+$J85*Loss_Constants!$E$5)/100,1)</f>
        <v>6.2</v>
      </c>
      <c r="Q85">
        <f t="shared" si="1"/>
        <v>21.7</v>
      </c>
      <c r="R85" t="s">
        <v>17</v>
      </c>
      <c r="S85" t="s">
        <v>18</v>
      </c>
    </row>
    <row r="86" spans="1:19">
      <c r="A86">
        <v>85</v>
      </c>
      <c r="B86" t="s">
        <v>235</v>
      </c>
      <c r="C86">
        <v>20</v>
      </c>
      <c r="D86">
        <v>10</v>
      </c>
      <c r="E86">
        <v>5</v>
      </c>
      <c r="F86">
        <v>65</v>
      </c>
      <c r="G86">
        <v>25</v>
      </c>
      <c r="H86">
        <v>25</v>
      </c>
      <c r="I86">
        <v>30</v>
      </c>
      <c r="J86">
        <v>20</v>
      </c>
      <c r="K86" t="s">
        <v>172</v>
      </c>
      <c r="L86" t="s">
        <v>148</v>
      </c>
      <c r="M86" t="s">
        <v>149</v>
      </c>
      <c r="N86" t="s">
        <v>137</v>
      </c>
      <c r="O86">
        <f>ROUND(($C86*Loss_Constants!$B$2+$D86*Loss_Constants!$B$3+$E86*Loss_Constants!$B$4+$F86*Loss_Constants!$B$5)/100,1)</f>
        <v>14.7</v>
      </c>
      <c r="P86">
        <f>ROUND(($G86*Loss_Constants!$E$2+$H86*Loss_Constants!$E$3+$I86*Loss_Constants!$E$4+$J86*Loss_Constants!$E$5)/100,1)</f>
        <v>4.8</v>
      </c>
      <c r="Q86">
        <f t="shared" si="1"/>
        <v>19.5</v>
      </c>
      <c r="R86" t="s">
        <v>91</v>
      </c>
      <c r="S86" t="s">
        <v>92</v>
      </c>
    </row>
    <row r="87" spans="1:19">
      <c r="A87">
        <v>86</v>
      </c>
      <c r="B87" t="s">
        <v>236</v>
      </c>
      <c r="C87">
        <v>20</v>
      </c>
      <c r="D87">
        <v>25</v>
      </c>
      <c r="E87">
        <v>0</v>
      </c>
      <c r="F87">
        <v>55</v>
      </c>
      <c r="G87">
        <v>10</v>
      </c>
      <c r="H87">
        <v>25</v>
      </c>
      <c r="I87">
        <v>35</v>
      </c>
      <c r="J87">
        <v>30</v>
      </c>
      <c r="K87" t="s">
        <v>134</v>
      </c>
      <c r="L87" t="s">
        <v>148</v>
      </c>
      <c r="M87" t="s">
        <v>136</v>
      </c>
      <c r="N87" t="s">
        <v>137</v>
      </c>
      <c r="O87">
        <f>ROUND(($C87*Loss_Constants!$B$2+$D87*Loss_Constants!$B$3+$E87*Loss_Constants!$B$4+$F87*Loss_Constants!$B$5)/100,1)</f>
        <v>13.3</v>
      </c>
      <c r="P87">
        <f>ROUND(($G87*Loss_Constants!$E$2+$H87*Loss_Constants!$E$3+$I87*Loss_Constants!$E$4+$J87*Loss_Constants!$E$5)/100,1)</f>
        <v>6</v>
      </c>
      <c r="Q87">
        <f t="shared" si="1"/>
        <v>19.3</v>
      </c>
      <c r="R87" t="s">
        <v>87</v>
      </c>
      <c r="S87" t="s">
        <v>88</v>
      </c>
    </row>
    <row r="88" spans="1:19">
      <c r="A88">
        <v>87</v>
      </c>
      <c r="B88" t="s">
        <v>237</v>
      </c>
      <c r="C88">
        <v>20</v>
      </c>
      <c r="D88">
        <v>10</v>
      </c>
      <c r="E88">
        <v>5</v>
      </c>
      <c r="F88">
        <v>65</v>
      </c>
      <c r="G88">
        <v>25</v>
      </c>
      <c r="H88">
        <v>25</v>
      </c>
      <c r="I88">
        <v>30</v>
      </c>
      <c r="J88">
        <v>20</v>
      </c>
      <c r="K88" t="s">
        <v>172</v>
      </c>
      <c r="L88" t="s">
        <v>148</v>
      </c>
      <c r="M88" t="s">
        <v>149</v>
      </c>
      <c r="N88" t="s">
        <v>137</v>
      </c>
      <c r="O88">
        <f>ROUND(($C88*Loss_Constants!$B$2+$D88*Loss_Constants!$B$3+$E88*Loss_Constants!$B$4+$F88*Loss_Constants!$B$5)/100,1)</f>
        <v>14.7</v>
      </c>
      <c r="P88">
        <f>ROUND(($G88*Loss_Constants!$E$2+$H88*Loss_Constants!$E$3+$I88*Loss_Constants!$E$4+$J88*Loss_Constants!$E$5)/100,1)</f>
        <v>4.8</v>
      </c>
      <c r="Q88">
        <f t="shared" si="1"/>
        <v>19.5</v>
      </c>
      <c r="R88" t="s">
        <v>91</v>
      </c>
      <c r="S88" t="s">
        <v>92</v>
      </c>
    </row>
    <row r="89" spans="1:19">
      <c r="A89">
        <v>88</v>
      </c>
      <c r="B89" t="s">
        <v>238</v>
      </c>
      <c r="C89">
        <v>20</v>
      </c>
      <c r="D89">
        <v>10</v>
      </c>
      <c r="E89">
        <v>5</v>
      </c>
      <c r="F89">
        <v>65</v>
      </c>
      <c r="G89">
        <v>25</v>
      </c>
      <c r="H89">
        <v>25</v>
      </c>
      <c r="I89">
        <v>30</v>
      </c>
      <c r="J89">
        <v>20</v>
      </c>
      <c r="K89" t="s">
        <v>172</v>
      </c>
      <c r="L89" t="s">
        <v>148</v>
      </c>
      <c r="M89" t="s">
        <v>149</v>
      </c>
      <c r="N89" t="s">
        <v>137</v>
      </c>
      <c r="O89">
        <f>ROUND(($C89*Loss_Constants!$B$2+$D89*Loss_Constants!$B$3+$E89*Loss_Constants!$B$4+$F89*Loss_Constants!$B$5)/100,1)</f>
        <v>14.7</v>
      </c>
      <c r="P89">
        <f>ROUND(($G89*Loss_Constants!$E$2+$H89*Loss_Constants!$E$3+$I89*Loss_Constants!$E$4+$J89*Loss_Constants!$E$5)/100,1)</f>
        <v>4.8</v>
      </c>
      <c r="Q89">
        <f t="shared" si="1"/>
        <v>19.5</v>
      </c>
      <c r="R89" t="s">
        <v>91</v>
      </c>
      <c r="S89" t="s">
        <v>92</v>
      </c>
    </row>
    <row r="90" spans="1:19">
      <c r="A90">
        <v>89</v>
      </c>
      <c r="B90" t="s">
        <v>239</v>
      </c>
      <c r="C90">
        <v>20</v>
      </c>
      <c r="D90">
        <v>25</v>
      </c>
      <c r="E90">
        <v>0</v>
      </c>
      <c r="F90">
        <v>55</v>
      </c>
      <c r="G90">
        <v>10</v>
      </c>
      <c r="H90">
        <v>25</v>
      </c>
      <c r="I90">
        <v>35</v>
      </c>
      <c r="J90">
        <v>30</v>
      </c>
      <c r="K90" t="s">
        <v>134</v>
      </c>
      <c r="L90" t="s">
        <v>148</v>
      </c>
      <c r="M90" t="s">
        <v>136</v>
      </c>
      <c r="N90" t="s">
        <v>137</v>
      </c>
      <c r="O90">
        <f>ROUND(($C90*Loss_Constants!$B$2+$D90*Loss_Constants!$B$3+$E90*Loss_Constants!$B$4+$F90*Loss_Constants!$B$5)/100,1)</f>
        <v>13.3</v>
      </c>
      <c r="P90">
        <f>ROUND(($G90*Loss_Constants!$E$2+$H90*Loss_Constants!$E$3+$I90*Loss_Constants!$E$4+$J90*Loss_Constants!$E$5)/100,1)</f>
        <v>6</v>
      </c>
      <c r="Q90">
        <f t="shared" si="1"/>
        <v>19.3</v>
      </c>
      <c r="R90" t="s">
        <v>87</v>
      </c>
      <c r="S90" t="s">
        <v>88</v>
      </c>
    </row>
    <row r="91" spans="1:19">
      <c r="A91">
        <v>90</v>
      </c>
      <c r="B91" t="s">
        <v>240</v>
      </c>
      <c r="C91">
        <v>25</v>
      </c>
      <c r="D91">
        <v>10</v>
      </c>
      <c r="E91">
        <v>0</v>
      </c>
      <c r="F91">
        <v>65</v>
      </c>
      <c r="G91">
        <v>10</v>
      </c>
      <c r="H91">
        <v>20</v>
      </c>
      <c r="I91">
        <v>30</v>
      </c>
      <c r="J91">
        <v>40</v>
      </c>
      <c r="K91" t="s">
        <v>147</v>
      </c>
      <c r="L91" t="s">
        <v>148</v>
      </c>
      <c r="M91" t="s">
        <v>149</v>
      </c>
      <c r="N91" t="s">
        <v>150</v>
      </c>
      <c r="O91">
        <f>ROUND(($C91*Loss_Constants!$B$2+$D91*Loss_Constants!$B$3+$E91*Loss_Constants!$B$4+$F91*Loss_Constants!$B$5)/100,1)</f>
        <v>15.1</v>
      </c>
      <c r="P91">
        <f>ROUND(($G91*Loss_Constants!$E$2+$H91*Loss_Constants!$E$3+$I91*Loss_Constants!$E$4+$J91*Loss_Constants!$E$5)/100,1)</f>
        <v>6.5</v>
      </c>
      <c r="Q91">
        <f t="shared" si="1"/>
        <v>21.6</v>
      </c>
      <c r="R91" t="s">
        <v>49</v>
      </c>
      <c r="S91" t="s">
        <v>50</v>
      </c>
    </row>
    <row r="92" spans="1:19">
      <c r="A92">
        <v>91</v>
      </c>
      <c r="B92" t="s">
        <v>241</v>
      </c>
      <c r="C92">
        <v>30</v>
      </c>
      <c r="D92">
        <v>55</v>
      </c>
      <c r="E92">
        <v>5</v>
      </c>
      <c r="F92">
        <v>10</v>
      </c>
      <c r="G92">
        <v>25</v>
      </c>
      <c r="H92">
        <v>45</v>
      </c>
      <c r="I92">
        <v>25</v>
      </c>
      <c r="J92">
        <v>5</v>
      </c>
      <c r="K92" t="s">
        <v>134</v>
      </c>
      <c r="L92" t="s">
        <v>178</v>
      </c>
      <c r="M92" t="s">
        <v>149</v>
      </c>
      <c r="N92" t="s">
        <v>137</v>
      </c>
      <c r="O92">
        <f>ROUND(($C92*Loss_Constants!$B$2+$D92*Loss_Constants!$B$3+$E92*Loss_Constants!$B$4+$F92*Loss_Constants!$B$5)/100,1)</f>
        <v>7.8</v>
      </c>
      <c r="P92">
        <f>ROUND(($G92*Loss_Constants!$E$2+$H92*Loss_Constants!$E$3+$I92*Loss_Constants!$E$4+$J92*Loss_Constants!$E$5)/100,1)</f>
        <v>3.6</v>
      </c>
      <c r="Q92">
        <f t="shared" si="1"/>
        <v>11.4</v>
      </c>
      <c r="R92" t="s">
        <v>43</v>
      </c>
      <c r="S92" t="s">
        <v>44</v>
      </c>
    </row>
    <row r="93" spans="1:19">
      <c r="A93">
        <v>92</v>
      </c>
      <c r="B93" t="s">
        <v>242</v>
      </c>
      <c r="C93">
        <v>30</v>
      </c>
      <c r="D93">
        <v>35</v>
      </c>
      <c r="E93">
        <v>5</v>
      </c>
      <c r="F93">
        <v>30</v>
      </c>
      <c r="G93">
        <v>20</v>
      </c>
      <c r="H93">
        <v>25</v>
      </c>
      <c r="I93">
        <v>35</v>
      </c>
      <c r="J93">
        <v>20</v>
      </c>
      <c r="K93" t="s">
        <v>134</v>
      </c>
      <c r="L93" t="s">
        <v>178</v>
      </c>
      <c r="M93" t="s">
        <v>179</v>
      </c>
      <c r="N93" t="s">
        <v>137</v>
      </c>
      <c r="O93">
        <f>ROUND(($C93*Loss_Constants!$B$2+$D93*Loss_Constants!$B$3+$E93*Loss_Constants!$B$4+$F93*Loss_Constants!$B$5)/100,1)</f>
        <v>10.6</v>
      </c>
      <c r="P93">
        <f>ROUND(($G93*Loss_Constants!$E$2+$H93*Loss_Constants!$E$3+$I93*Loss_Constants!$E$4+$J93*Loss_Constants!$E$5)/100,1)</f>
        <v>5.0999999999999996</v>
      </c>
      <c r="Q93">
        <f t="shared" si="1"/>
        <v>15.7</v>
      </c>
      <c r="R93" t="s">
        <v>41</v>
      </c>
      <c r="S93" t="s">
        <v>42</v>
      </c>
    </row>
    <row r="94" spans="1:19">
      <c r="A94">
        <v>93</v>
      </c>
      <c r="B94" t="s">
        <v>243</v>
      </c>
      <c r="C94">
        <v>20</v>
      </c>
      <c r="D94">
        <v>55</v>
      </c>
      <c r="E94">
        <v>10</v>
      </c>
      <c r="F94">
        <v>15</v>
      </c>
      <c r="G94">
        <v>30</v>
      </c>
      <c r="H94">
        <v>40</v>
      </c>
      <c r="I94">
        <v>25</v>
      </c>
      <c r="J94">
        <v>5</v>
      </c>
      <c r="K94" t="s">
        <v>134</v>
      </c>
      <c r="L94" t="s">
        <v>178</v>
      </c>
      <c r="M94" t="s">
        <v>136</v>
      </c>
      <c r="N94" t="s">
        <v>140</v>
      </c>
      <c r="O94">
        <f>ROUND(($C94*Loss_Constants!$B$2+$D94*Loss_Constants!$B$3+$E94*Loss_Constants!$B$4+$F94*Loss_Constants!$B$5)/100,1)</f>
        <v>7.6</v>
      </c>
      <c r="P94">
        <f>ROUND(($G94*Loss_Constants!$E$2+$H94*Loss_Constants!$E$3+$I94*Loss_Constants!$E$4+$J94*Loss_Constants!$E$5)/100,1)</f>
        <v>3.5</v>
      </c>
      <c r="Q94">
        <f t="shared" si="1"/>
        <v>11.1</v>
      </c>
      <c r="R94" t="s">
        <v>35</v>
      </c>
      <c r="S94" t="s">
        <v>36</v>
      </c>
    </row>
    <row r="95" spans="1:19">
      <c r="A95">
        <v>94</v>
      </c>
      <c r="B95" t="s">
        <v>244</v>
      </c>
      <c r="C95">
        <v>20</v>
      </c>
      <c r="D95">
        <v>55</v>
      </c>
      <c r="E95">
        <v>10</v>
      </c>
      <c r="F95">
        <v>15</v>
      </c>
      <c r="G95">
        <v>30</v>
      </c>
      <c r="H95">
        <v>40</v>
      </c>
      <c r="I95">
        <v>25</v>
      </c>
      <c r="J95">
        <v>5</v>
      </c>
      <c r="K95" t="s">
        <v>134</v>
      </c>
      <c r="L95" t="s">
        <v>178</v>
      </c>
      <c r="M95" t="s">
        <v>136</v>
      </c>
      <c r="N95" t="s">
        <v>140</v>
      </c>
      <c r="O95">
        <f>ROUND(($C95*Loss_Constants!$B$2+$D95*Loss_Constants!$B$3+$E95*Loss_Constants!$B$4+$F95*Loss_Constants!$B$5)/100,1)</f>
        <v>7.6</v>
      </c>
      <c r="P95">
        <f>ROUND(($G95*Loss_Constants!$E$2+$H95*Loss_Constants!$E$3+$I95*Loss_Constants!$E$4+$J95*Loss_Constants!$E$5)/100,1)</f>
        <v>3.5</v>
      </c>
      <c r="Q95">
        <f t="shared" si="1"/>
        <v>11.1</v>
      </c>
      <c r="R95" t="s">
        <v>35</v>
      </c>
      <c r="S95" t="s">
        <v>36</v>
      </c>
    </row>
    <row r="96" spans="1:19">
      <c r="A96">
        <v>95</v>
      </c>
      <c r="B96" t="s">
        <v>245</v>
      </c>
      <c r="C96">
        <v>40</v>
      </c>
      <c r="D96">
        <v>10</v>
      </c>
      <c r="E96">
        <v>0</v>
      </c>
      <c r="F96">
        <v>50</v>
      </c>
      <c r="G96">
        <v>15</v>
      </c>
      <c r="H96">
        <v>20</v>
      </c>
      <c r="I96">
        <v>30</v>
      </c>
      <c r="J96">
        <v>35</v>
      </c>
      <c r="K96" t="s">
        <v>134</v>
      </c>
      <c r="L96" t="s">
        <v>178</v>
      </c>
      <c r="M96" t="s">
        <v>179</v>
      </c>
      <c r="N96" t="s">
        <v>150</v>
      </c>
      <c r="O96">
        <f>ROUND(($C96*Loss_Constants!$B$2+$D96*Loss_Constants!$B$3+$E96*Loss_Constants!$B$4+$F96*Loss_Constants!$B$5)/100,1)</f>
        <v>14.2</v>
      </c>
      <c r="P96">
        <f>ROUND(($G96*Loss_Constants!$E$2+$H96*Loss_Constants!$E$3+$I96*Loss_Constants!$E$4+$J96*Loss_Constants!$E$5)/100,1)</f>
        <v>6.1</v>
      </c>
      <c r="Q96">
        <f t="shared" si="1"/>
        <v>20.3</v>
      </c>
      <c r="R96" t="s">
        <v>39</v>
      </c>
      <c r="S96" t="s">
        <v>40</v>
      </c>
    </row>
    <row r="97" spans="1:19">
      <c r="A97">
        <v>96</v>
      </c>
      <c r="B97" t="s">
        <v>246</v>
      </c>
      <c r="C97">
        <v>20</v>
      </c>
      <c r="D97">
        <v>35</v>
      </c>
      <c r="E97">
        <v>10</v>
      </c>
      <c r="F97">
        <v>35</v>
      </c>
      <c r="G97">
        <v>20</v>
      </c>
      <c r="H97">
        <v>25</v>
      </c>
      <c r="I97">
        <v>35</v>
      </c>
      <c r="J97">
        <v>20</v>
      </c>
      <c r="K97" t="s">
        <v>134</v>
      </c>
      <c r="L97" t="s">
        <v>165</v>
      </c>
      <c r="M97" t="s">
        <v>149</v>
      </c>
      <c r="N97" t="s">
        <v>137</v>
      </c>
      <c r="O97">
        <f>ROUND(($C97*Loss_Constants!$B$2+$D97*Loss_Constants!$B$3+$E97*Loss_Constants!$B$4+$F97*Loss_Constants!$B$5)/100,1)</f>
        <v>10.4</v>
      </c>
      <c r="P97">
        <f>ROUND(($G97*Loss_Constants!$E$2+$H97*Loss_Constants!$E$3+$I97*Loss_Constants!$E$4+$J97*Loss_Constants!$E$5)/100,1)</f>
        <v>5.0999999999999996</v>
      </c>
      <c r="Q97">
        <f t="shared" si="1"/>
        <v>15.5</v>
      </c>
      <c r="R97" t="s">
        <v>53</v>
      </c>
      <c r="S97" t="s">
        <v>54</v>
      </c>
    </row>
    <row r="98" spans="1:19">
      <c r="A98">
        <v>97</v>
      </c>
      <c r="B98" t="s">
        <v>247</v>
      </c>
      <c r="C98">
        <v>30</v>
      </c>
      <c r="D98">
        <v>35</v>
      </c>
      <c r="E98">
        <v>5</v>
      </c>
      <c r="F98">
        <v>30</v>
      </c>
      <c r="G98">
        <v>25</v>
      </c>
      <c r="H98">
        <v>25</v>
      </c>
      <c r="I98">
        <v>30</v>
      </c>
      <c r="J98">
        <v>20</v>
      </c>
      <c r="K98" t="s">
        <v>134</v>
      </c>
      <c r="L98" t="s">
        <v>178</v>
      </c>
      <c r="M98" t="s">
        <v>179</v>
      </c>
      <c r="N98" t="s">
        <v>143</v>
      </c>
      <c r="O98">
        <f>ROUND(($C98*Loss_Constants!$B$2+$D98*Loss_Constants!$B$3+$E98*Loss_Constants!$B$4+$F98*Loss_Constants!$B$5)/100,1)</f>
        <v>10.6</v>
      </c>
      <c r="P98">
        <f>ROUND(($G98*Loss_Constants!$E$2+$H98*Loss_Constants!$E$3+$I98*Loss_Constants!$E$4+$J98*Loss_Constants!$E$5)/100,1)</f>
        <v>4.8</v>
      </c>
      <c r="Q98">
        <f t="shared" si="1"/>
        <v>15.4</v>
      </c>
      <c r="R98" t="s">
        <v>37</v>
      </c>
      <c r="S98" t="s">
        <v>38</v>
      </c>
    </row>
    <row r="99" spans="1:19">
      <c r="A99">
        <v>98</v>
      </c>
      <c r="B99" t="s">
        <v>248</v>
      </c>
      <c r="C99">
        <v>20</v>
      </c>
      <c r="D99">
        <v>40</v>
      </c>
      <c r="E99">
        <v>30</v>
      </c>
      <c r="F99">
        <v>10</v>
      </c>
      <c r="G99">
        <v>60</v>
      </c>
      <c r="H99">
        <v>25</v>
      </c>
      <c r="I99">
        <v>10</v>
      </c>
      <c r="J99">
        <v>5</v>
      </c>
      <c r="K99" t="s">
        <v>134</v>
      </c>
      <c r="L99" t="s">
        <v>135</v>
      </c>
      <c r="M99" t="s">
        <v>142</v>
      </c>
      <c r="N99" t="s">
        <v>143</v>
      </c>
      <c r="O99">
        <f>ROUND(($C99*Loss_Constants!$B$2+$D99*Loss_Constants!$B$3+$E99*Loss_Constants!$B$4+$F99*Loss_Constants!$B$5)/100,1)</f>
        <v>6.7</v>
      </c>
      <c r="P99">
        <f>ROUND(($G99*Loss_Constants!$E$2+$H99*Loss_Constants!$E$3+$I99*Loss_Constants!$E$4+$J99*Loss_Constants!$E$5)/100,1)</f>
        <v>2.5</v>
      </c>
      <c r="Q99">
        <f t="shared" si="1"/>
        <v>9.1999999999999993</v>
      </c>
      <c r="R99" t="s">
        <v>59</v>
      </c>
      <c r="S99" t="s">
        <v>60</v>
      </c>
    </row>
    <row r="100" spans="1:19">
      <c r="A100">
        <v>99</v>
      </c>
      <c r="B100" t="s">
        <v>249</v>
      </c>
      <c r="C100">
        <v>20</v>
      </c>
      <c r="D100">
        <v>35</v>
      </c>
      <c r="E100">
        <v>10</v>
      </c>
      <c r="F100">
        <v>35</v>
      </c>
      <c r="G100">
        <v>20</v>
      </c>
      <c r="H100">
        <v>25</v>
      </c>
      <c r="I100">
        <v>35</v>
      </c>
      <c r="J100">
        <v>20</v>
      </c>
      <c r="K100" t="s">
        <v>134</v>
      </c>
      <c r="L100" t="s">
        <v>165</v>
      </c>
      <c r="M100" t="s">
        <v>149</v>
      </c>
      <c r="N100" t="s">
        <v>137</v>
      </c>
      <c r="O100">
        <f>ROUND(($C100*Loss_Constants!$B$2+$D100*Loss_Constants!$B$3+$E100*Loss_Constants!$B$4+$F100*Loss_Constants!$B$5)/100,1)</f>
        <v>10.4</v>
      </c>
      <c r="P100">
        <f>ROUND(($G100*Loss_Constants!$E$2+$H100*Loss_Constants!$E$3+$I100*Loss_Constants!$E$4+$J100*Loss_Constants!$E$5)/100,1)</f>
        <v>5.0999999999999996</v>
      </c>
      <c r="Q100">
        <f t="shared" si="1"/>
        <v>15.5</v>
      </c>
      <c r="R100" t="s">
        <v>53</v>
      </c>
      <c r="S100" t="s">
        <v>54</v>
      </c>
    </row>
    <row r="101" spans="1:19">
      <c r="A101">
        <v>100</v>
      </c>
      <c r="B101" t="s">
        <v>250</v>
      </c>
      <c r="C101">
        <v>20</v>
      </c>
      <c r="D101">
        <v>25</v>
      </c>
      <c r="E101">
        <v>0</v>
      </c>
      <c r="F101">
        <v>55</v>
      </c>
      <c r="G101">
        <v>10</v>
      </c>
      <c r="H101">
        <v>25</v>
      </c>
      <c r="I101">
        <v>35</v>
      </c>
      <c r="J101">
        <v>30</v>
      </c>
      <c r="K101" t="s">
        <v>134</v>
      </c>
      <c r="L101" t="s">
        <v>148</v>
      </c>
      <c r="M101" t="s">
        <v>136</v>
      </c>
      <c r="N101" t="s">
        <v>137</v>
      </c>
      <c r="O101">
        <f>ROUND(($C101*Loss_Constants!$B$2+$D101*Loss_Constants!$B$3+$E101*Loss_Constants!$B$4+$F101*Loss_Constants!$B$5)/100,1)</f>
        <v>13.3</v>
      </c>
      <c r="P101">
        <f>ROUND(($G101*Loss_Constants!$E$2+$H101*Loss_Constants!$E$3+$I101*Loss_Constants!$E$4+$J101*Loss_Constants!$E$5)/100,1)</f>
        <v>6</v>
      </c>
      <c r="Q101">
        <f t="shared" si="1"/>
        <v>19.3</v>
      </c>
      <c r="R101" t="s">
        <v>87</v>
      </c>
      <c r="S101" t="s">
        <v>88</v>
      </c>
    </row>
    <row r="102" spans="1:19">
      <c r="A102">
        <v>101</v>
      </c>
      <c r="B102" t="s">
        <v>251</v>
      </c>
      <c r="C102">
        <v>30</v>
      </c>
      <c r="D102">
        <v>55</v>
      </c>
      <c r="E102">
        <v>5</v>
      </c>
      <c r="F102">
        <v>10</v>
      </c>
      <c r="G102">
        <v>25</v>
      </c>
      <c r="H102">
        <v>45</v>
      </c>
      <c r="I102">
        <v>25</v>
      </c>
      <c r="J102">
        <v>5</v>
      </c>
      <c r="K102" t="s">
        <v>134</v>
      </c>
      <c r="L102" t="s">
        <v>178</v>
      </c>
      <c r="M102" t="s">
        <v>149</v>
      </c>
      <c r="N102" t="s">
        <v>137</v>
      </c>
      <c r="O102">
        <f>ROUND(($C102*Loss_Constants!$B$2+$D102*Loss_Constants!$B$3+$E102*Loss_Constants!$B$4+$F102*Loss_Constants!$B$5)/100,1)</f>
        <v>7.8</v>
      </c>
      <c r="P102">
        <f>ROUND(($G102*Loss_Constants!$E$2+$H102*Loss_Constants!$E$3+$I102*Loss_Constants!$E$4+$J102*Loss_Constants!$E$5)/100,1)</f>
        <v>3.6</v>
      </c>
      <c r="Q102">
        <f t="shared" si="1"/>
        <v>11.4</v>
      </c>
      <c r="R102" t="s">
        <v>43</v>
      </c>
      <c r="S102" t="s">
        <v>44</v>
      </c>
    </row>
    <row r="103" spans="1:19">
      <c r="A103">
        <v>102</v>
      </c>
      <c r="B103" t="s">
        <v>252</v>
      </c>
      <c r="C103">
        <v>20</v>
      </c>
      <c r="D103">
        <v>55</v>
      </c>
      <c r="E103">
        <v>10</v>
      </c>
      <c r="F103">
        <v>15</v>
      </c>
      <c r="G103">
        <v>30</v>
      </c>
      <c r="H103">
        <v>40</v>
      </c>
      <c r="I103">
        <v>25</v>
      </c>
      <c r="J103">
        <v>5</v>
      </c>
      <c r="K103" t="s">
        <v>134</v>
      </c>
      <c r="L103" t="s">
        <v>178</v>
      </c>
      <c r="M103" t="s">
        <v>136</v>
      </c>
      <c r="N103" t="s">
        <v>140</v>
      </c>
      <c r="O103">
        <f>ROUND(($C103*Loss_Constants!$B$2+$D103*Loss_Constants!$B$3+$E103*Loss_Constants!$B$4+$F103*Loss_Constants!$B$5)/100,1)</f>
        <v>7.6</v>
      </c>
      <c r="P103">
        <f>ROUND(($G103*Loss_Constants!$E$2+$H103*Loss_Constants!$E$3+$I103*Loss_Constants!$E$4+$J103*Loss_Constants!$E$5)/100,1)</f>
        <v>3.5</v>
      </c>
      <c r="Q103">
        <f t="shared" si="1"/>
        <v>11.1</v>
      </c>
      <c r="R103" t="s">
        <v>35</v>
      </c>
      <c r="S103" t="s">
        <v>36</v>
      </c>
    </row>
    <row r="104" spans="1:19">
      <c r="A104">
        <v>103</v>
      </c>
      <c r="B104" t="s">
        <v>253</v>
      </c>
      <c r="C104">
        <v>20</v>
      </c>
      <c r="D104">
        <v>40</v>
      </c>
      <c r="E104">
        <v>30</v>
      </c>
      <c r="F104">
        <v>10</v>
      </c>
      <c r="G104">
        <v>60</v>
      </c>
      <c r="H104">
        <v>25</v>
      </c>
      <c r="I104">
        <v>10</v>
      </c>
      <c r="J104">
        <v>5</v>
      </c>
      <c r="K104" t="s">
        <v>134</v>
      </c>
      <c r="L104" t="s">
        <v>135</v>
      </c>
      <c r="M104" t="s">
        <v>142</v>
      </c>
      <c r="N104" t="s">
        <v>143</v>
      </c>
      <c r="O104">
        <f>ROUND(($C104*Loss_Constants!$B$2+$D104*Loss_Constants!$B$3+$E104*Loss_Constants!$B$4+$F104*Loss_Constants!$B$5)/100,1)</f>
        <v>6.7</v>
      </c>
      <c r="P104">
        <f>ROUND(($G104*Loss_Constants!$E$2+$H104*Loss_Constants!$E$3+$I104*Loss_Constants!$E$4+$J104*Loss_Constants!$E$5)/100,1)</f>
        <v>2.5</v>
      </c>
      <c r="Q104">
        <f t="shared" si="1"/>
        <v>9.1999999999999993</v>
      </c>
      <c r="R104" t="s">
        <v>59</v>
      </c>
      <c r="S104" t="s">
        <v>60</v>
      </c>
    </row>
    <row r="105" spans="1:19">
      <c r="A105">
        <v>104</v>
      </c>
      <c r="B105" t="s">
        <v>254</v>
      </c>
      <c r="C105">
        <v>30</v>
      </c>
      <c r="D105">
        <v>35</v>
      </c>
      <c r="E105">
        <v>5</v>
      </c>
      <c r="F105">
        <v>30</v>
      </c>
      <c r="G105">
        <v>20</v>
      </c>
      <c r="H105">
        <v>25</v>
      </c>
      <c r="I105">
        <v>35</v>
      </c>
      <c r="J105">
        <v>20</v>
      </c>
      <c r="K105" t="s">
        <v>134</v>
      </c>
      <c r="L105" t="s">
        <v>178</v>
      </c>
      <c r="M105" t="s">
        <v>179</v>
      </c>
      <c r="N105" t="s">
        <v>137</v>
      </c>
      <c r="O105">
        <f>ROUND(($C105*Loss_Constants!$B$2+$D105*Loss_Constants!$B$3+$E105*Loss_Constants!$B$4+$F105*Loss_Constants!$B$5)/100,1)</f>
        <v>10.6</v>
      </c>
      <c r="P105">
        <f>ROUND(($G105*Loss_Constants!$E$2+$H105*Loss_Constants!$E$3+$I105*Loss_Constants!$E$4+$J105*Loss_Constants!$E$5)/100,1)</f>
        <v>5.0999999999999996</v>
      </c>
      <c r="Q105">
        <f t="shared" si="1"/>
        <v>15.7</v>
      </c>
      <c r="R105" t="s">
        <v>41</v>
      </c>
      <c r="S105" t="s">
        <v>42</v>
      </c>
    </row>
    <row r="106" spans="1:19">
      <c r="A106">
        <v>105</v>
      </c>
      <c r="B106" t="s">
        <v>255</v>
      </c>
      <c r="C106">
        <v>20</v>
      </c>
      <c r="D106">
        <v>35</v>
      </c>
      <c r="E106">
        <v>10</v>
      </c>
      <c r="F106">
        <v>35</v>
      </c>
      <c r="G106">
        <v>20</v>
      </c>
      <c r="H106">
        <v>25</v>
      </c>
      <c r="I106">
        <v>35</v>
      </c>
      <c r="J106">
        <v>20</v>
      </c>
      <c r="K106" t="s">
        <v>134</v>
      </c>
      <c r="L106" t="s">
        <v>165</v>
      </c>
      <c r="M106" t="s">
        <v>149</v>
      </c>
      <c r="N106" t="s">
        <v>137</v>
      </c>
      <c r="O106">
        <f>ROUND(($C106*Loss_Constants!$B$2+$D106*Loss_Constants!$B$3+$E106*Loss_Constants!$B$4+$F106*Loss_Constants!$B$5)/100,1)</f>
        <v>10.4</v>
      </c>
      <c r="P106">
        <f>ROUND(($G106*Loss_Constants!$E$2+$H106*Loss_Constants!$E$3+$I106*Loss_Constants!$E$4+$J106*Loss_Constants!$E$5)/100,1)</f>
        <v>5.0999999999999996</v>
      </c>
      <c r="Q106">
        <f t="shared" si="1"/>
        <v>15.5</v>
      </c>
      <c r="R106" t="s">
        <v>53</v>
      </c>
      <c r="S106" t="s">
        <v>54</v>
      </c>
    </row>
    <row r="107" spans="1:19">
      <c r="A107">
        <v>106</v>
      </c>
      <c r="B107" t="s">
        <v>256</v>
      </c>
      <c r="C107">
        <v>20</v>
      </c>
      <c r="D107">
        <v>55</v>
      </c>
      <c r="E107">
        <v>10</v>
      </c>
      <c r="F107">
        <v>15</v>
      </c>
      <c r="G107">
        <v>30</v>
      </c>
      <c r="H107">
        <v>40</v>
      </c>
      <c r="I107">
        <v>25</v>
      </c>
      <c r="J107">
        <v>5</v>
      </c>
      <c r="K107" t="s">
        <v>134</v>
      </c>
      <c r="L107" t="s">
        <v>178</v>
      </c>
      <c r="M107" t="s">
        <v>136</v>
      </c>
      <c r="N107" t="s">
        <v>140</v>
      </c>
      <c r="O107">
        <f>ROUND(($C107*Loss_Constants!$B$2+$D107*Loss_Constants!$B$3+$E107*Loss_Constants!$B$4+$F107*Loss_Constants!$B$5)/100,1)</f>
        <v>7.6</v>
      </c>
      <c r="P107">
        <f>ROUND(($G107*Loss_Constants!$E$2+$H107*Loss_Constants!$E$3+$I107*Loss_Constants!$E$4+$J107*Loss_Constants!$E$5)/100,1)</f>
        <v>3.5</v>
      </c>
      <c r="Q107">
        <f t="shared" si="1"/>
        <v>11.1</v>
      </c>
      <c r="R107" t="s">
        <v>35</v>
      </c>
      <c r="S107" t="s">
        <v>36</v>
      </c>
    </row>
    <row r="108" spans="1:19">
      <c r="A108">
        <v>107</v>
      </c>
      <c r="B108" t="s">
        <v>257</v>
      </c>
      <c r="C108">
        <v>25</v>
      </c>
      <c r="D108">
        <v>10</v>
      </c>
      <c r="E108">
        <v>0</v>
      </c>
      <c r="F108">
        <v>65</v>
      </c>
      <c r="G108">
        <v>10</v>
      </c>
      <c r="H108">
        <v>20</v>
      </c>
      <c r="I108">
        <v>30</v>
      </c>
      <c r="J108">
        <v>40</v>
      </c>
      <c r="K108" t="s">
        <v>147</v>
      </c>
      <c r="L108" t="s">
        <v>148</v>
      </c>
      <c r="M108" t="s">
        <v>149</v>
      </c>
      <c r="N108" t="s">
        <v>150</v>
      </c>
      <c r="O108">
        <f>ROUND(($C108*Loss_Constants!$B$2+$D108*Loss_Constants!$B$3+$E108*Loss_Constants!$B$4+$F108*Loss_Constants!$B$5)/100,1)</f>
        <v>15.1</v>
      </c>
      <c r="P108">
        <f>ROUND(($G108*Loss_Constants!$E$2+$H108*Loss_Constants!$E$3+$I108*Loss_Constants!$E$4+$J108*Loss_Constants!$E$5)/100,1)</f>
        <v>6.5</v>
      </c>
      <c r="Q108">
        <f t="shared" si="1"/>
        <v>21.6</v>
      </c>
      <c r="R108" t="s">
        <v>49</v>
      </c>
      <c r="S108" t="s">
        <v>50</v>
      </c>
    </row>
    <row r="109" spans="1:19">
      <c r="A109">
        <v>108</v>
      </c>
      <c r="B109" t="s">
        <v>258</v>
      </c>
      <c r="C109">
        <v>40</v>
      </c>
      <c r="D109">
        <v>10</v>
      </c>
      <c r="E109">
        <v>0</v>
      </c>
      <c r="F109">
        <v>50</v>
      </c>
      <c r="G109">
        <v>15</v>
      </c>
      <c r="H109">
        <v>20</v>
      </c>
      <c r="I109">
        <v>30</v>
      </c>
      <c r="J109">
        <v>35</v>
      </c>
      <c r="K109" t="s">
        <v>134</v>
      </c>
      <c r="L109" t="s">
        <v>178</v>
      </c>
      <c r="M109" t="s">
        <v>179</v>
      </c>
      <c r="N109" t="s">
        <v>150</v>
      </c>
      <c r="O109">
        <f>ROUND(($C109*Loss_Constants!$B$2+$D109*Loss_Constants!$B$3+$E109*Loss_Constants!$B$4+$F109*Loss_Constants!$B$5)/100,1)</f>
        <v>14.2</v>
      </c>
      <c r="P109">
        <f>ROUND(($G109*Loss_Constants!$E$2+$H109*Loss_Constants!$E$3+$I109*Loss_Constants!$E$4+$J109*Loss_Constants!$E$5)/100,1)</f>
        <v>6.1</v>
      </c>
      <c r="Q109">
        <f t="shared" si="1"/>
        <v>20.3</v>
      </c>
      <c r="R109" t="s">
        <v>39</v>
      </c>
      <c r="S109" t="s">
        <v>40</v>
      </c>
    </row>
    <row r="110" spans="1:19">
      <c r="A110">
        <v>109</v>
      </c>
      <c r="B110" t="s">
        <v>259</v>
      </c>
      <c r="C110">
        <v>25</v>
      </c>
      <c r="D110">
        <v>10</v>
      </c>
      <c r="E110">
        <v>0</v>
      </c>
      <c r="F110">
        <v>65</v>
      </c>
      <c r="G110">
        <v>10</v>
      </c>
      <c r="H110">
        <v>20</v>
      </c>
      <c r="I110">
        <v>30</v>
      </c>
      <c r="J110">
        <v>40</v>
      </c>
      <c r="K110" t="s">
        <v>147</v>
      </c>
      <c r="L110" t="s">
        <v>148</v>
      </c>
      <c r="M110" t="s">
        <v>149</v>
      </c>
      <c r="N110" t="s">
        <v>150</v>
      </c>
      <c r="O110">
        <f>ROUND(($C110*Loss_Constants!$B$2+$D110*Loss_Constants!$B$3+$E110*Loss_Constants!$B$4+$F110*Loss_Constants!$B$5)/100,1)</f>
        <v>15.1</v>
      </c>
      <c r="P110">
        <f>ROUND(($G110*Loss_Constants!$E$2+$H110*Loss_Constants!$E$3+$I110*Loss_Constants!$E$4+$J110*Loss_Constants!$E$5)/100,1)</f>
        <v>6.5</v>
      </c>
      <c r="Q110">
        <f t="shared" si="1"/>
        <v>21.6</v>
      </c>
      <c r="R110" t="s">
        <v>49</v>
      </c>
      <c r="S110" t="s">
        <v>50</v>
      </c>
    </row>
    <row r="111" spans="1:19">
      <c r="A111">
        <v>110</v>
      </c>
      <c r="B111" t="s">
        <v>260</v>
      </c>
      <c r="C111">
        <v>20</v>
      </c>
      <c r="D111">
        <v>40</v>
      </c>
      <c r="E111">
        <v>30</v>
      </c>
      <c r="F111">
        <v>10</v>
      </c>
      <c r="G111">
        <v>60</v>
      </c>
      <c r="H111">
        <v>25</v>
      </c>
      <c r="I111">
        <v>10</v>
      </c>
      <c r="J111">
        <v>5</v>
      </c>
      <c r="K111" t="s">
        <v>134</v>
      </c>
      <c r="L111" t="s">
        <v>135</v>
      </c>
      <c r="M111" t="s">
        <v>142</v>
      </c>
      <c r="N111" t="s">
        <v>143</v>
      </c>
      <c r="O111">
        <f>ROUND(($C111*Loss_Constants!$B$2+$D111*Loss_Constants!$B$3+$E111*Loss_Constants!$B$4+$F111*Loss_Constants!$B$5)/100,1)</f>
        <v>6.7</v>
      </c>
      <c r="P111">
        <f>ROUND(($G111*Loss_Constants!$E$2+$H111*Loss_Constants!$E$3+$I111*Loss_Constants!$E$4+$J111*Loss_Constants!$E$5)/100,1)</f>
        <v>2.5</v>
      </c>
      <c r="Q111">
        <f t="shared" si="1"/>
        <v>9.1999999999999993</v>
      </c>
      <c r="R111" t="s">
        <v>59</v>
      </c>
      <c r="S111" t="s">
        <v>60</v>
      </c>
    </row>
    <row r="112" spans="1:19">
      <c r="A112">
        <v>111</v>
      </c>
      <c r="B112" t="s">
        <v>261</v>
      </c>
      <c r="C112">
        <v>20</v>
      </c>
      <c r="D112">
        <v>55</v>
      </c>
      <c r="E112">
        <v>10</v>
      </c>
      <c r="F112">
        <v>15</v>
      </c>
      <c r="G112">
        <v>30</v>
      </c>
      <c r="H112">
        <v>40</v>
      </c>
      <c r="I112">
        <v>25</v>
      </c>
      <c r="J112">
        <v>5</v>
      </c>
      <c r="K112" t="s">
        <v>134</v>
      </c>
      <c r="L112" t="s">
        <v>178</v>
      </c>
      <c r="M112" t="s">
        <v>136</v>
      </c>
      <c r="N112" t="s">
        <v>140</v>
      </c>
      <c r="O112">
        <f>ROUND(($C112*Loss_Constants!$B$2+$D112*Loss_Constants!$B$3+$E112*Loss_Constants!$B$4+$F112*Loss_Constants!$B$5)/100,1)</f>
        <v>7.6</v>
      </c>
      <c r="P112">
        <f>ROUND(($G112*Loss_Constants!$E$2+$H112*Loss_Constants!$E$3+$I112*Loss_Constants!$E$4+$J112*Loss_Constants!$E$5)/100,1)</f>
        <v>3.5</v>
      </c>
      <c r="Q112">
        <f t="shared" si="1"/>
        <v>11.1</v>
      </c>
      <c r="R112" t="s">
        <v>35</v>
      </c>
      <c r="S112" t="s">
        <v>36</v>
      </c>
    </row>
    <row r="113" spans="1:19">
      <c r="A113">
        <v>112</v>
      </c>
      <c r="B113" t="s">
        <v>262</v>
      </c>
      <c r="C113">
        <v>15</v>
      </c>
      <c r="D113">
        <v>55</v>
      </c>
      <c r="E113">
        <v>20</v>
      </c>
      <c r="F113">
        <v>10</v>
      </c>
      <c r="G113">
        <v>45</v>
      </c>
      <c r="H113">
        <v>35</v>
      </c>
      <c r="I113">
        <v>15</v>
      </c>
      <c r="J113">
        <v>5</v>
      </c>
      <c r="K113" t="s">
        <v>134</v>
      </c>
      <c r="L113" t="s">
        <v>135</v>
      </c>
      <c r="M113" t="s">
        <v>136</v>
      </c>
      <c r="N113" t="s">
        <v>137</v>
      </c>
      <c r="O113">
        <f>ROUND(($C113*Loss_Constants!$B$2+$D113*Loss_Constants!$B$3+$E113*Loss_Constants!$B$4+$F113*Loss_Constants!$B$5)/100,1)</f>
        <v>6.4</v>
      </c>
      <c r="P113">
        <f>ROUND(($G113*Loss_Constants!$E$2+$H113*Loss_Constants!$E$3+$I113*Loss_Constants!$E$4+$J113*Loss_Constants!$E$5)/100,1)</f>
        <v>2.9</v>
      </c>
      <c r="Q113">
        <f t="shared" si="1"/>
        <v>9.3000000000000007</v>
      </c>
      <c r="R113" t="s">
        <v>1</v>
      </c>
      <c r="S113" t="s">
        <v>2</v>
      </c>
    </row>
    <row r="114" spans="1:19">
      <c r="A114">
        <v>113</v>
      </c>
      <c r="B114" t="s">
        <v>263</v>
      </c>
      <c r="C114">
        <v>30</v>
      </c>
      <c r="D114">
        <v>5</v>
      </c>
      <c r="E114">
        <v>0</v>
      </c>
      <c r="F114">
        <v>65</v>
      </c>
      <c r="G114">
        <v>15</v>
      </c>
      <c r="H114">
        <v>15</v>
      </c>
      <c r="I114">
        <v>35</v>
      </c>
      <c r="J114">
        <v>35</v>
      </c>
      <c r="K114" t="s">
        <v>134</v>
      </c>
      <c r="L114" t="s">
        <v>220</v>
      </c>
      <c r="M114" t="s">
        <v>179</v>
      </c>
      <c r="N114" t="s">
        <v>150</v>
      </c>
      <c r="O114">
        <f>ROUND(($C114*Loss_Constants!$B$2+$D114*Loss_Constants!$B$3+$E114*Loss_Constants!$B$4+$F114*Loss_Constants!$B$5)/100,1)</f>
        <v>15.5</v>
      </c>
      <c r="P114">
        <f>ROUND(($G114*Loss_Constants!$E$2+$H114*Loss_Constants!$E$3+$I114*Loss_Constants!$E$4+$J114*Loss_Constants!$E$5)/100,1)</f>
        <v>6.2</v>
      </c>
      <c r="Q114">
        <f t="shared" si="1"/>
        <v>21.7</v>
      </c>
      <c r="R114" t="s">
        <v>17</v>
      </c>
      <c r="S114" t="s">
        <v>18</v>
      </c>
    </row>
    <row r="115" spans="1:19">
      <c r="A115">
        <v>114</v>
      </c>
      <c r="B115" t="s">
        <v>264</v>
      </c>
      <c r="C115">
        <v>20</v>
      </c>
      <c r="D115">
        <v>35</v>
      </c>
      <c r="E115">
        <v>10</v>
      </c>
      <c r="F115">
        <v>35</v>
      </c>
      <c r="G115">
        <v>20</v>
      </c>
      <c r="H115">
        <v>25</v>
      </c>
      <c r="I115">
        <v>35</v>
      </c>
      <c r="J115">
        <v>20</v>
      </c>
      <c r="K115" t="s">
        <v>134</v>
      </c>
      <c r="L115" t="s">
        <v>165</v>
      </c>
      <c r="M115" t="s">
        <v>149</v>
      </c>
      <c r="N115" t="s">
        <v>137</v>
      </c>
      <c r="O115">
        <f>ROUND(($C115*Loss_Constants!$B$2+$D115*Loss_Constants!$B$3+$E115*Loss_Constants!$B$4+$F115*Loss_Constants!$B$5)/100,1)</f>
        <v>10.4</v>
      </c>
      <c r="P115">
        <f>ROUND(($G115*Loss_Constants!$E$2+$H115*Loss_Constants!$E$3+$I115*Loss_Constants!$E$4+$J115*Loss_Constants!$E$5)/100,1)</f>
        <v>5.0999999999999996</v>
      </c>
      <c r="Q115">
        <f t="shared" si="1"/>
        <v>15.5</v>
      </c>
      <c r="R115" t="s">
        <v>53</v>
      </c>
      <c r="S115" t="s">
        <v>54</v>
      </c>
    </row>
    <row r="116" spans="1:19">
      <c r="A116">
        <v>115</v>
      </c>
      <c r="B116" t="s">
        <v>265</v>
      </c>
      <c r="C116">
        <v>20</v>
      </c>
      <c r="D116">
        <v>10</v>
      </c>
      <c r="E116">
        <v>5</v>
      </c>
      <c r="F116">
        <v>65</v>
      </c>
      <c r="G116">
        <v>25</v>
      </c>
      <c r="H116">
        <v>20</v>
      </c>
      <c r="I116">
        <v>35</v>
      </c>
      <c r="J116">
        <v>20</v>
      </c>
      <c r="K116" t="s">
        <v>172</v>
      </c>
      <c r="L116" t="s">
        <v>148</v>
      </c>
      <c r="M116" t="s">
        <v>149</v>
      </c>
      <c r="N116" t="s">
        <v>140</v>
      </c>
      <c r="O116">
        <f>ROUND(($C116*Loss_Constants!$B$2+$D116*Loss_Constants!$B$3+$E116*Loss_Constants!$B$4+$F116*Loss_Constants!$B$5)/100,1)</f>
        <v>14.7</v>
      </c>
      <c r="P116">
        <f>ROUND(($G116*Loss_Constants!$E$2+$H116*Loss_Constants!$E$3+$I116*Loss_Constants!$E$4+$J116*Loss_Constants!$E$5)/100,1)</f>
        <v>5</v>
      </c>
      <c r="Q116">
        <f t="shared" si="1"/>
        <v>19.7</v>
      </c>
      <c r="R116" t="s">
        <v>89</v>
      </c>
      <c r="S116" t="s">
        <v>90</v>
      </c>
    </row>
    <row r="117" spans="1:19">
      <c r="A117">
        <v>116</v>
      </c>
      <c r="B117" t="s">
        <v>266</v>
      </c>
      <c r="C117">
        <v>20</v>
      </c>
      <c r="D117">
        <v>25</v>
      </c>
      <c r="E117">
        <v>0</v>
      </c>
      <c r="F117">
        <v>55</v>
      </c>
      <c r="G117">
        <v>10</v>
      </c>
      <c r="H117">
        <v>25</v>
      </c>
      <c r="I117">
        <v>35</v>
      </c>
      <c r="J117">
        <v>30</v>
      </c>
      <c r="K117" t="s">
        <v>134</v>
      </c>
      <c r="L117" t="s">
        <v>148</v>
      </c>
      <c r="M117" t="s">
        <v>136</v>
      </c>
      <c r="N117" t="s">
        <v>137</v>
      </c>
      <c r="O117">
        <f>ROUND(($C117*Loss_Constants!$B$2+$D117*Loss_Constants!$B$3+$E117*Loss_Constants!$B$4+$F117*Loss_Constants!$B$5)/100,1)</f>
        <v>13.3</v>
      </c>
      <c r="P117">
        <f>ROUND(($G117*Loss_Constants!$E$2+$H117*Loss_Constants!$E$3+$I117*Loss_Constants!$E$4+$J117*Loss_Constants!$E$5)/100,1)</f>
        <v>6</v>
      </c>
      <c r="Q117">
        <f t="shared" si="1"/>
        <v>19.3</v>
      </c>
      <c r="R117" t="s">
        <v>87</v>
      </c>
      <c r="S117" t="s">
        <v>88</v>
      </c>
    </row>
    <row r="118" spans="1:19">
      <c r="A118">
        <v>117</v>
      </c>
      <c r="B118" t="s">
        <v>267</v>
      </c>
      <c r="C118">
        <v>20</v>
      </c>
      <c r="D118">
        <v>25</v>
      </c>
      <c r="E118">
        <v>0</v>
      </c>
      <c r="F118">
        <v>55</v>
      </c>
      <c r="G118">
        <v>10</v>
      </c>
      <c r="H118">
        <v>25</v>
      </c>
      <c r="I118">
        <v>35</v>
      </c>
      <c r="J118">
        <v>30</v>
      </c>
      <c r="K118" t="s">
        <v>134</v>
      </c>
      <c r="L118" t="s">
        <v>148</v>
      </c>
      <c r="M118" t="s">
        <v>136</v>
      </c>
      <c r="N118" t="s">
        <v>137</v>
      </c>
      <c r="O118">
        <f>ROUND(($C118*Loss_Constants!$B$2+$D118*Loss_Constants!$B$3+$E118*Loss_Constants!$B$4+$F118*Loss_Constants!$B$5)/100,1)</f>
        <v>13.3</v>
      </c>
      <c r="P118">
        <f>ROUND(($G118*Loss_Constants!$E$2+$H118*Loss_Constants!$E$3+$I118*Loss_Constants!$E$4+$J118*Loss_Constants!$E$5)/100,1)</f>
        <v>6</v>
      </c>
      <c r="Q118">
        <f t="shared" si="1"/>
        <v>19.3</v>
      </c>
      <c r="R118" t="s">
        <v>87</v>
      </c>
      <c r="S118" t="s">
        <v>88</v>
      </c>
    </row>
    <row r="119" spans="1:19">
      <c r="A119">
        <v>118</v>
      </c>
      <c r="B119" t="s">
        <v>268</v>
      </c>
      <c r="C119">
        <v>20</v>
      </c>
      <c r="D119">
        <v>40</v>
      </c>
      <c r="E119">
        <v>30</v>
      </c>
      <c r="F119">
        <v>10</v>
      </c>
      <c r="G119">
        <v>60</v>
      </c>
      <c r="H119">
        <v>25</v>
      </c>
      <c r="I119">
        <v>10</v>
      </c>
      <c r="J119">
        <v>5</v>
      </c>
      <c r="K119" t="s">
        <v>134</v>
      </c>
      <c r="L119" t="s">
        <v>135</v>
      </c>
      <c r="M119" t="s">
        <v>142</v>
      </c>
      <c r="N119" t="s">
        <v>143</v>
      </c>
      <c r="O119">
        <f>ROUND(($C119*Loss_Constants!$B$2+$D119*Loss_Constants!$B$3+$E119*Loss_Constants!$B$4+$F119*Loss_Constants!$B$5)/100,1)</f>
        <v>6.7</v>
      </c>
      <c r="P119">
        <f>ROUND(($G119*Loss_Constants!$E$2+$H119*Loss_Constants!$E$3+$I119*Loss_Constants!$E$4+$J119*Loss_Constants!$E$5)/100,1)</f>
        <v>2.5</v>
      </c>
      <c r="Q119">
        <f t="shared" si="1"/>
        <v>9.1999999999999993</v>
      </c>
      <c r="R119" t="s">
        <v>59</v>
      </c>
      <c r="S119" t="s">
        <v>60</v>
      </c>
    </row>
    <row r="120" spans="1:19">
      <c r="A120">
        <v>119</v>
      </c>
      <c r="B120" t="s">
        <v>269</v>
      </c>
      <c r="C120">
        <v>25</v>
      </c>
      <c r="D120">
        <v>10</v>
      </c>
      <c r="E120">
        <v>0</v>
      </c>
      <c r="F120">
        <v>65</v>
      </c>
      <c r="G120">
        <v>10</v>
      </c>
      <c r="H120">
        <v>20</v>
      </c>
      <c r="I120">
        <v>30</v>
      </c>
      <c r="J120">
        <v>40</v>
      </c>
      <c r="K120" t="s">
        <v>147</v>
      </c>
      <c r="L120" t="s">
        <v>148</v>
      </c>
      <c r="M120" t="s">
        <v>149</v>
      </c>
      <c r="N120" t="s">
        <v>150</v>
      </c>
      <c r="O120">
        <f>ROUND(($C120*Loss_Constants!$B$2+$D120*Loss_Constants!$B$3+$E120*Loss_Constants!$B$4+$F120*Loss_Constants!$B$5)/100,1)</f>
        <v>15.1</v>
      </c>
      <c r="P120">
        <f>ROUND(($G120*Loss_Constants!$E$2+$H120*Loss_Constants!$E$3+$I120*Loss_Constants!$E$4+$J120*Loss_Constants!$E$5)/100,1)</f>
        <v>6.5</v>
      </c>
      <c r="Q120">
        <f t="shared" si="1"/>
        <v>21.6</v>
      </c>
      <c r="R120" t="s">
        <v>49</v>
      </c>
      <c r="S120" t="s">
        <v>50</v>
      </c>
    </row>
    <row r="121" spans="1:19">
      <c r="A121">
        <v>120</v>
      </c>
      <c r="B121" t="s">
        <v>270</v>
      </c>
      <c r="C121">
        <v>30</v>
      </c>
      <c r="D121">
        <v>35</v>
      </c>
      <c r="E121">
        <v>5</v>
      </c>
      <c r="F121">
        <v>30</v>
      </c>
      <c r="G121">
        <v>20</v>
      </c>
      <c r="H121">
        <v>25</v>
      </c>
      <c r="I121">
        <v>35</v>
      </c>
      <c r="J121">
        <v>20</v>
      </c>
      <c r="K121" t="s">
        <v>134</v>
      </c>
      <c r="L121" t="s">
        <v>178</v>
      </c>
      <c r="M121" t="s">
        <v>179</v>
      </c>
      <c r="N121" t="s">
        <v>137</v>
      </c>
      <c r="O121">
        <f>ROUND(($C121*Loss_Constants!$B$2+$D121*Loss_Constants!$B$3+$E121*Loss_Constants!$B$4+$F121*Loss_Constants!$B$5)/100,1)</f>
        <v>10.6</v>
      </c>
      <c r="P121">
        <f>ROUND(($G121*Loss_Constants!$E$2+$H121*Loss_Constants!$E$3+$I121*Loss_Constants!$E$4+$J121*Loss_Constants!$E$5)/100,1)</f>
        <v>5.0999999999999996</v>
      </c>
      <c r="Q121">
        <f t="shared" si="1"/>
        <v>15.7</v>
      </c>
      <c r="R121" t="s">
        <v>41</v>
      </c>
      <c r="S121" t="s">
        <v>42</v>
      </c>
    </row>
    <row r="122" spans="1:19">
      <c r="A122">
        <v>121</v>
      </c>
      <c r="B122" t="s">
        <v>271</v>
      </c>
      <c r="C122">
        <v>30</v>
      </c>
      <c r="D122">
        <v>35</v>
      </c>
      <c r="E122">
        <v>5</v>
      </c>
      <c r="F122">
        <v>30</v>
      </c>
      <c r="G122">
        <v>20</v>
      </c>
      <c r="H122">
        <v>25</v>
      </c>
      <c r="I122">
        <v>35</v>
      </c>
      <c r="J122">
        <v>20</v>
      </c>
      <c r="K122" t="s">
        <v>134</v>
      </c>
      <c r="L122" t="s">
        <v>178</v>
      </c>
      <c r="M122" t="s">
        <v>179</v>
      </c>
      <c r="N122" t="s">
        <v>137</v>
      </c>
      <c r="O122">
        <f>ROUND(($C122*Loss_Constants!$B$2+$D122*Loss_Constants!$B$3+$E122*Loss_Constants!$B$4+$F122*Loss_Constants!$B$5)/100,1)</f>
        <v>10.6</v>
      </c>
      <c r="P122">
        <f>ROUND(($G122*Loss_Constants!$E$2+$H122*Loss_Constants!$E$3+$I122*Loss_Constants!$E$4+$J122*Loss_Constants!$E$5)/100,1)</f>
        <v>5.0999999999999996</v>
      </c>
      <c r="Q122">
        <f t="shared" si="1"/>
        <v>15.7</v>
      </c>
      <c r="R122" t="s">
        <v>41</v>
      </c>
      <c r="S122" t="s">
        <v>42</v>
      </c>
    </row>
    <row r="123" spans="1:19">
      <c r="A123">
        <v>122</v>
      </c>
      <c r="B123" t="s">
        <v>272</v>
      </c>
      <c r="C123">
        <v>30</v>
      </c>
      <c r="D123">
        <v>35</v>
      </c>
      <c r="E123">
        <v>5</v>
      </c>
      <c r="F123">
        <v>30</v>
      </c>
      <c r="G123">
        <v>20</v>
      </c>
      <c r="H123">
        <v>25</v>
      </c>
      <c r="I123">
        <v>35</v>
      </c>
      <c r="J123">
        <v>20</v>
      </c>
      <c r="K123" t="s">
        <v>134</v>
      </c>
      <c r="L123" t="s">
        <v>178</v>
      </c>
      <c r="M123" t="s">
        <v>179</v>
      </c>
      <c r="N123" t="s">
        <v>137</v>
      </c>
      <c r="O123">
        <f>ROUND(($C123*Loss_Constants!$B$2+$D123*Loss_Constants!$B$3+$E123*Loss_Constants!$B$4+$F123*Loss_Constants!$B$5)/100,1)</f>
        <v>10.6</v>
      </c>
      <c r="P123">
        <f>ROUND(($G123*Loss_Constants!$E$2+$H123*Loss_Constants!$E$3+$I123*Loss_Constants!$E$4+$J123*Loss_Constants!$E$5)/100,1)</f>
        <v>5.0999999999999996</v>
      </c>
      <c r="Q123">
        <f t="shared" si="1"/>
        <v>15.7</v>
      </c>
      <c r="R123" t="s">
        <v>41</v>
      </c>
      <c r="S123" t="s">
        <v>42</v>
      </c>
    </row>
    <row r="124" spans="1:19">
      <c r="A124">
        <v>123</v>
      </c>
      <c r="B124" t="s">
        <v>273</v>
      </c>
      <c r="C124">
        <v>20</v>
      </c>
      <c r="D124">
        <v>55</v>
      </c>
      <c r="E124">
        <v>10</v>
      </c>
      <c r="F124">
        <v>15</v>
      </c>
      <c r="G124">
        <v>30</v>
      </c>
      <c r="H124">
        <v>40</v>
      </c>
      <c r="I124">
        <v>25</v>
      </c>
      <c r="J124">
        <v>5</v>
      </c>
      <c r="K124" t="s">
        <v>134</v>
      </c>
      <c r="L124" t="s">
        <v>178</v>
      </c>
      <c r="M124" t="s">
        <v>136</v>
      </c>
      <c r="N124" t="s">
        <v>140</v>
      </c>
      <c r="O124">
        <f>ROUND(($C124*Loss_Constants!$B$2+$D124*Loss_Constants!$B$3+$E124*Loss_Constants!$B$4+$F124*Loss_Constants!$B$5)/100,1)</f>
        <v>7.6</v>
      </c>
      <c r="P124">
        <f>ROUND(($G124*Loss_Constants!$E$2+$H124*Loss_Constants!$E$3+$I124*Loss_Constants!$E$4+$J124*Loss_Constants!$E$5)/100,1)</f>
        <v>3.5</v>
      </c>
      <c r="Q124">
        <f t="shared" si="1"/>
        <v>11.1</v>
      </c>
      <c r="R124" t="s">
        <v>35</v>
      </c>
      <c r="S124" t="s">
        <v>36</v>
      </c>
    </row>
    <row r="125" spans="1:19">
      <c r="A125">
        <v>124</v>
      </c>
      <c r="B125" t="s">
        <v>274</v>
      </c>
      <c r="C125">
        <v>20</v>
      </c>
      <c r="D125">
        <v>35</v>
      </c>
      <c r="E125">
        <v>10</v>
      </c>
      <c r="F125">
        <v>35</v>
      </c>
      <c r="G125">
        <v>20</v>
      </c>
      <c r="H125">
        <v>25</v>
      </c>
      <c r="I125">
        <v>35</v>
      </c>
      <c r="J125">
        <v>20</v>
      </c>
      <c r="K125" t="s">
        <v>134</v>
      </c>
      <c r="L125" t="s">
        <v>165</v>
      </c>
      <c r="M125" t="s">
        <v>149</v>
      </c>
      <c r="N125" t="s">
        <v>137</v>
      </c>
      <c r="O125">
        <f>ROUND(($C125*Loss_Constants!$B$2+$D125*Loss_Constants!$B$3+$E125*Loss_Constants!$B$4+$F125*Loss_Constants!$B$5)/100,1)</f>
        <v>10.4</v>
      </c>
      <c r="P125">
        <f>ROUND(($G125*Loss_Constants!$E$2+$H125*Loss_Constants!$E$3+$I125*Loss_Constants!$E$4+$J125*Loss_Constants!$E$5)/100,1)</f>
        <v>5.0999999999999996</v>
      </c>
      <c r="Q125">
        <f t="shared" si="1"/>
        <v>15.5</v>
      </c>
      <c r="R125" t="s">
        <v>53</v>
      </c>
      <c r="S125" t="s">
        <v>54</v>
      </c>
    </row>
    <row r="126" spans="1:19">
      <c r="A126">
        <v>125</v>
      </c>
      <c r="B126" t="s">
        <v>275</v>
      </c>
      <c r="C126">
        <v>20</v>
      </c>
      <c r="D126">
        <v>25</v>
      </c>
      <c r="E126">
        <v>0</v>
      </c>
      <c r="F126">
        <v>55</v>
      </c>
      <c r="G126">
        <v>10</v>
      </c>
      <c r="H126">
        <v>25</v>
      </c>
      <c r="I126">
        <v>35</v>
      </c>
      <c r="J126">
        <v>30</v>
      </c>
      <c r="K126" t="s">
        <v>134</v>
      </c>
      <c r="L126" t="s">
        <v>148</v>
      </c>
      <c r="M126" t="s">
        <v>136</v>
      </c>
      <c r="N126" t="s">
        <v>137</v>
      </c>
      <c r="O126">
        <f>ROUND(($C126*Loss_Constants!$B$2+$D126*Loss_Constants!$B$3+$E126*Loss_Constants!$B$4+$F126*Loss_Constants!$B$5)/100,1)</f>
        <v>13.3</v>
      </c>
      <c r="P126">
        <f>ROUND(($G126*Loss_Constants!$E$2+$H126*Loss_Constants!$E$3+$I126*Loss_Constants!$E$4+$J126*Loss_Constants!$E$5)/100,1)</f>
        <v>6</v>
      </c>
      <c r="Q126">
        <f t="shared" si="1"/>
        <v>19.3</v>
      </c>
      <c r="R126" t="s">
        <v>87</v>
      </c>
      <c r="S126" t="s">
        <v>88</v>
      </c>
    </row>
    <row r="127" spans="1:19">
      <c r="A127">
        <v>126</v>
      </c>
      <c r="B127" t="s">
        <v>276</v>
      </c>
      <c r="C127">
        <v>15</v>
      </c>
      <c r="D127">
        <v>35</v>
      </c>
      <c r="E127">
        <v>35</v>
      </c>
      <c r="F127">
        <v>15</v>
      </c>
      <c r="G127">
        <v>50</v>
      </c>
      <c r="H127">
        <v>30</v>
      </c>
      <c r="I127">
        <v>15</v>
      </c>
      <c r="J127">
        <v>5</v>
      </c>
      <c r="K127" t="s">
        <v>134</v>
      </c>
      <c r="L127" t="s">
        <v>277</v>
      </c>
      <c r="M127" t="s">
        <v>136</v>
      </c>
      <c r="N127" t="s">
        <v>143</v>
      </c>
      <c r="O127">
        <f>ROUND(($C127*Loss_Constants!$B$2+$D127*Loss_Constants!$B$3+$E127*Loss_Constants!$B$4+$F127*Loss_Constants!$B$5)/100,1)</f>
        <v>7</v>
      </c>
      <c r="P127">
        <f>ROUND(($G127*Loss_Constants!$E$2+$H127*Loss_Constants!$E$3+$I127*Loss_Constants!$E$4+$J127*Loss_Constants!$E$5)/100,1)</f>
        <v>2.8</v>
      </c>
      <c r="Q127">
        <f t="shared" si="1"/>
        <v>9.8000000000000007</v>
      </c>
      <c r="R127" t="s">
        <v>81</v>
      </c>
      <c r="S127" t="s">
        <v>82</v>
      </c>
    </row>
    <row r="128" spans="1:19">
      <c r="A128">
        <v>127</v>
      </c>
      <c r="B128" t="s">
        <v>278</v>
      </c>
      <c r="C128">
        <v>20</v>
      </c>
      <c r="D128">
        <v>35</v>
      </c>
      <c r="E128">
        <v>10</v>
      </c>
      <c r="F128">
        <v>35</v>
      </c>
      <c r="G128">
        <v>20</v>
      </c>
      <c r="H128">
        <v>25</v>
      </c>
      <c r="I128">
        <v>35</v>
      </c>
      <c r="J128">
        <v>20</v>
      </c>
      <c r="K128" t="s">
        <v>134</v>
      </c>
      <c r="L128" t="s">
        <v>165</v>
      </c>
      <c r="M128" t="s">
        <v>149</v>
      </c>
      <c r="N128" t="s">
        <v>137</v>
      </c>
      <c r="O128">
        <f>ROUND(($C128*Loss_Constants!$B$2+$D128*Loss_Constants!$B$3+$E128*Loss_Constants!$B$4+$F128*Loss_Constants!$B$5)/100,1)</f>
        <v>10.4</v>
      </c>
      <c r="P128">
        <f>ROUND(($G128*Loss_Constants!$E$2+$H128*Loss_Constants!$E$3+$I128*Loss_Constants!$E$4+$J128*Loss_Constants!$E$5)/100,1)</f>
        <v>5.0999999999999996</v>
      </c>
      <c r="Q128">
        <f t="shared" si="1"/>
        <v>15.5</v>
      </c>
      <c r="R128" t="s">
        <v>53</v>
      </c>
      <c r="S128" t="s">
        <v>54</v>
      </c>
    </row>
    <row r="129" spans="1:19">
      <c r="A129">
        <v>128</v>
      </c>
      <c r="B129" t="s">
        <v>279</v>
      </c>
      <c r="C129">
        <v>20</v>
      </c>
      <c r="D129">
        <v>25</v>
      </c>
      <c r="E129">
        <v>0</v>
      </c>
      <c r="F129">
        <v>55</v>
      </c>
      <c r="G129">
        <v>10</v>
      </c>
      <c r="H129">
        <v>25</v>
      </c>
      <c r="I129">
        <v>35</v>
      </c>
      <c r="J129">
        <v>30</v>
      </c>
      <c r="K129" t="s">
        <v>134</v>
      </c>
      <c r="L129" t="s">
        <v>148</v>
      </c>
      <c r="M129" t="s">
        <v>136</v>
      </c>
      <c r="N129" t="s">
        <v>137</v>
      </c>
      <c r="O129">
        <f>ROUND(($C129*Loss_Constants!$B$2+$D129*Loss_Constants!$B$3+$E129*Loss_Constants!$B$4+$F129*Loss_Constants!$B$5)/100,1)</f>
        <v>13.3</v>
      </c>
      <c r="P129">
        <f>ROUND(($G129*Loss_Constants!$E$2+$H129*Loss_Constants!$E$3+$I129*Loss_Constants!$E$4+$J129*Loss_Constants!$E$5)/100,1)</f>
        <v>6</v>
      </c>
      <c r="Q129">
        <f t="shared" si="1"/>
        <v>19.3</v>
      </c>
      <c r="R129" t="s">
        <v>87</v>
      </c>
      <c r="S129" t="s">
        <v>88</v>
      </c>
    </row>
    <row r="130" spans="1:19">
      <c r="A130">
        <v>129</v>
      </c>
      <c r="B130" t="s">
        <v>280</v>
      </c>
      <c r="C130">
        <v>20</v>
      </c>
      <c r="D130">
        <v>40</v>
      </c>
      <c r="E130">
        <v>30</v>
      </c>
      <c r="F130">
        <v>10</v>
      </c>
      <c r="G130">
        <v>60</v>
      </c>
      <c r="H130">
        <v>25</v>
      </c>
      <c r="I130">
        <v>10</v>
      </c>
      <c r="J130">
        <v>5</v>
      </c>
      <c r="K130" t="s">
        <v>134</v>
      </c>
      <c r="L130" t="s">
        <v>135</v>
      </c>
      <c r="M130" t="s">
        <v>142</v>
      </c>
      <c r="N130" t="s">
        <v>143</v>
      </c>
      <c r="O130">
        <f>ROUND(($C130*Loss_Constants!$B$2+$D130*Loss_Constants!$B$3+$E130*Loss_Constants!$B$4+$F130*Loss_Constants!$B$5)/100,1)</f>
        <v>6.7</v>
      </c>
      <c r="P130">
        <f>ROUND(($G130*Loss_Constants!$E$2+$H130*Loss_Constants!$E$3+$I130*Loss_Constants!$E$4+$J130*Loss_Constants!$E$5)/100,1)</f>
        <v>2.5</v>
      </c>
      <c r="Q130">
        <f t="shared" ref="Q130:Q193" si="2">ROUND(O130+P130,1)</f>
        <v>9.1999999999999993</v>
      </c>
      <c r="R130" t="s">
        <v>59</v>
      </c>
      <c r="S130" t="s">
        <v>60</v>
      </c>
    </row>
    <row r="131" spans="1:19">
      <c r="A131">
        <v>130</v>
      </c>
      <c r="B131" t="s">
        <v>281</v>
      </c>
      <c r="C131">
        <v>20</v>
      </c>
      <c r="D131">
        <v>10</v>
      </c>
      <c r="E131">
        <v>5</v>
      </c>
      <c r="F131">
        <v>65</v>
      </c>
      <c r="G131">
        <v>25</v>
      </c>
      <c r="H131">
        <v>20</v>
      </c>
      <c r="I131">
        <v>35</v>
      </c>
      <c r="J131">
        <v>20</v>
      </c>
      <c r="K131" t="s">
        <v>172</v>
      </c>
      <c r="L131" t="s">
        <v>148</v>
      </c>
      <c r="M131" t="s">
        <v>149</v>
      </c>
      <c r="N131" t="s">
        <v>140</v>
      </c>
      <c r="O131">
        <f>ROUND(($C131*Loss_Constants!$B$2+$D131*Loss_Constants!$B$3+$E131*Loss_Constants!$B$4+$F131*Loss_Constants!$B$5)/100,1)</f>
        <v>14.7</v>
      </c>
      <c r="P131">
        <f>ROUND(($G131*Loss_Constants!$E$2+$H131*Loss_Constants!$E$3+$I131*Loss_Constants!$E$4+$J131*Loss_Constants!$E$5)/100,1)</f>
        <v>5</v>
      </c>
      <c r="Q131">
        <f t="shared" si="2"/>
        <v>19.7</v>
      </c>
      <c r="R131" t="s">
        <v>89</v>
      </c>
      <c r="S131" t="s">
        <v>90</v>
      </c>
    </row>
    <row r="132" spans="1:19">
      <c r="A132">
        <v>131</v>
      </c>
      <c r="B132" t="s">
        <v>282</v>
      </c>
      <c r="C132">
        <v>25</v>
      </c>
      <c r="D132">
        <v>10</v>
      </c>
      <c r="E132">
        <v>0</v>
      </c>
      <c r="F132">
        <v>65</v>
      </c>
      <c r="G132">
        <v>10</v>
      </c>
      <c r="H132">
        <v>20</v>
      </c>
      <c r="I132">
        <v>30</v>
      </c>
      <c r="J132">
        <v>40</v>
      </c>
      <c r="K132" t="s">
        <v>147</v>
      </c>
      <c r="L132" t="s">
        <v>148</v>
      </c>
      <c r="M132" t="s">
        <v>149</v>
      </c>
      <c r="N132" t="s">
        <v>150</v>
      </c>
      <c r="O132">
        <f>ROUND(($C132*Loss_Constants!$B$2+$D132*Loss_Constants!$B$3+$E132*Loss_Constants!$B$4+$F132*Loss_Constants!$B$5)/100,1)</f>
        <v>15.1</v>
      </c>
      <c r="P132">
        <f>ROUND(($G132*Loss_Constants!$E$2+$H132*Loss_Constants!$E$3+$I132*Loss_Constants!$E$4+$J132*Loss_Constants!$E$5)/100,1)</f>
        <v>6.5</v>
      </c>
      <c r="Q132">
        <f t="shared" si="2"/>
        <v>21.6</v>
      </c>
      <c r="R132" t="s">
        <v>49</v>
      </c>
      <c r="S132" t="s">
        <v>50</v>
      </c>
    </row>
    <row r="133" spans="1:19">
      <c r="A133">
        <v>132</v>
      </c>
      <c r="B133" t="s">
        <v>283</v>
      </c>
      <c r="C133">
        <v>20</v>
      </c>
      <c r="D133">
        <v>50</v>
      </c>
      <c r="E133">
        <v>20</v>
      </c>
      <c r="F133">
        <v>10</v>
      </c>
      <c r="G133">
        <v>45</v>
      </c>
      <c r="H133">
        <v>35</v>
      </c>
      <c r="I133">
        <v>15</v>
      </c>
      <c r="J133">
        <v>5</v>
      </c>
      <c r="K133" t="s">
        <v>134</v>
      </c>
      <c r="L133" t="s">
        <v>284</v>
      </c>
      <c r="M133" t="s">
        <v>136</v>
      </c>
      <c r="N133" t="s">
        <v>140</v>
      </c>
      <c r="O133">
        <f>ROUND(($C133*Loss_Constants!$B$2+$D133*Loss_Constants!$B$3+$E133*Loss_Constants!$B$4+$F133*Loss_Constants!$B$5)/100,1)</f>
        <v>6.8</v>
      </c>
      <c r="P133">
        <f>ROUND(($G133*Loss_Constants!$E$2+$H133*Loss_Constants!$E$3+$I133*Loss_Constants!$E$4+$J133*Loss_Constants!$E$5)/100,1)</f>
        <v>2.9</v>
      </c>
      <c r="Q133">
        <f t="shared" si="2"/>
        <v>9.6999999999999993</v>
      </c>
      <c r="R133" t="s">
        <v>25</v>
      </c>
      <c r="S133" t="s">
        <v>26</v>
      </c>
    </row>
    <row r="134" spans="1:19">
      <c r="A134">
        <v>133</v>
      </c>
      <c r="B134" t="s">
        <v>285</v>
      </c>
      <c r="C134">
        <v>15</v>
      </c>
      <c r="D134">
        <v>55</v>
      </c>
      <c r="E134">
        <v>20</v>
      </c>
      <c r="F134">
        <v>10</v>
      </c>
      <c r="G134">
        <v>45</v>
      </c>
      <c r="H134">
        <v>35</v>
      </c>
      <c r="I134">
        <v>15</v>
      </c>
      <c r="J134">
        <v>5</v>
      </c>
      <c r="K134" t="s">
        <v>134</v>
      </c>
      <c r="L134" t="s">
        <v>135</v>
      </c>
      <c r="M134" t="s">
        <v>136</v>
      </c>
      <c r="N134" t="s">
        <v>137</v>
      </c>
      <c r="O134">
        <f>ROUND(($C134*Loss_Constants!$B$2+$D134*Loss_Constants!$B$3+$E134*Loss_Constants!$B$4+$F134*Loss_Constants!$B$5)/100,1)</f>
        <v>6.4</v>
      </c>
      <c r="P134">
        <f>ROUND(($G134*Loss_Constants!$E$2+$H134*Loss_Constants!$E$3+$I134*Loss_Constants!$E$4+$J134*Loss_Constants!$E$5)/100,1)</f>
        <v>2.9</v>
      </c>
      <c r="Q134">
        <f t="shared" si="2"/>
        <v>9.3000000000000007</v>
      </c>
      <c r="R134" t="s">
        <v>1</v>
      </c>
      <c r="S134" t="s">
        <v>2</v>
      </c>
    </row>
    <row r="135" spans="1:19">
      <c r="A135">
        <v>134</v>
      </c>
      <c r="B135" t="s">
        <v>286</v>
      </c>
      <c r="C135">
        <v>25</v>
      </c>
      <c r="D135">
        <v>20</v>
      </c>
      <c r="E135">
        <v>10</v>
      </c>
      <c r="F135">
        <v>45</v>
      </c>
      <c r="G135">
        <v>65</v>
      </c>
      <c r="H135">
        <v>20</v>
      </c>
      <c r="I135">
        <v>10</v>
      </c>
      <c r="J135">
        <v>5</v>
      </c>
      <c r="K135" t="s">
        <v>172</v>
      </c>
      <c r="L135" t="s">
        <v>287</v>
      </c>
      <c r="M135" t="s">
        <v>149</v>
      </c>
      <c r="N135" t="s">
        <v>174</v>
      </c>
      <c r="O135">
        <f>ROUND(($C135*Loss_Constants!$B$2+$D135*Loss_Constants!$B$3+$E135*Loss_Constants!$B$4+$F135*Loss_Constants!$B$5)/100,1)</f>
        <v>12.2</v>
      </c>
      <c r="P135">
        <f>ROUND(($G135*Loss_Constants!$E$2+$H135*Loss_Constants!$E$3+$I135*Loss_Constants!$E$4+$J135*Loss_Constants!$E$5)/100,1)</f>
        <v>2.4</v>
      </c>
      <c r="Q135">
        <f t="shared" si="2"/>
        <v>14.6</v>
      </c>
      <c r="R135" t="s">
        <v>33</v>
      </c>
      <c r="S135" t="s">
        <v>34</v>
      </c>
    </row>
    <row r="136" spans="1:19">
      <c r="A136">
        <v>135</v>
      </c>
      <c r="B136" t="s">
        <v>288</v>
      </c>
      <c r="C136">
        <v>15</v>
      </c>
      <c r="D136">
        <v>45</v>
      </c>
      <c r="E136">
        <v>15</v>
      </c>
      <c r="F136">
        <v>25</v>
      </c>
      <c r="G136">
        <v>35</v>
      </c>
      <c r="H136">
        <v>35</v>
      </c>
      <c r="I136">
        <v>20</v>
      </c>
      <c r="J136">
        <v>10</v>
      </c>
      <c r="K136" t="s">
        <v>134</v>
      </c>
      <c r="L136" t="s">
        <v>135</v>
      </c>
      <c r="M136" t="s">
        <v>136</v>
      </c>
      <c r="N136" t="s">
        <v>140</v>
      </c>
      <c r="O136">
        <f>ROUND(($C136*Loss_Constants!$B$2+$D136*Loss_Constants!$B$3+$E136*Loss_Constants!$B$4+$F136*Loss_Constants!$B$5)/100,1)</f>
        <v>8.6</v>
      </c>
      <c r="P136">
        <f>ROUND(($G136*Loss_Constants!$E$2+$H136*Loss_Constants!$E$3+$I136*Loss_Constants!$E$4+$J136*Loss_Constants!$E$5)/100,1)</f>
        <v>3.6</v>
      </c>
      <c r="Q136">
        <f t="shared" si="2"/>
        <v>12.2</v>
      </c>
      <c r="R136" t="s">
        <v>11</v>
      </c>
      <c r="S136" t="s">
        <v>12</v>
      </c>
    </row>
    <row r="137" spans="1:19">
      <c r="A137">
        <v>136</v>
      </c>
      <c r="B137" t="s">
        <v>289</v>
      </c>
      <c r="C137">
        <v>20</v>
      </c>
      <c r="D137">
        <v>35</v>
      </c>
      <c r="E137">
        <v>20</v>
      </c>
      <c r="F137">
        <v>25</v>
      </c>
      <c r="G137">
        <v>35</v>
      </c>
      <c r="H137">
        <v>30</v>
      </c>
      <c r="I137">
        <v>25</v>
      </c>
      <c r="J137">
        <v>10</v>
      </c>
      <c r="K137" t="s">
        <v>134</v>
      </c>
      <c r="L137" t="s">
        <v>284</v>
      </c>
      <c r="M137" t="s">
        <v>136</v>
      </c>
      <c r="N137" t="s">
        <v>137</v>
      </c>
      <c r="O137">
        <f>ROUND(($C137*Loss_Constants!$B$2+$D137*Loss_Constants!$B$3+$E137*Loss_Constants!$B$4+$F137*Loss_Constants!$B$5)/100,1)</f>
        <v>8.9</v>
      </c>
      <c r="P137">
        <f>ROUND(($G137*Loss_Constants!$E$2+$H137*Loss_Constants!$E$3+$I137*Loss_Constants!$E$4+$J137*Loss_Constants!$E$5)/100,1)</f>
        <v>3.8</v>
      </c>
      <c r="Q137">
        <f t="shared" si="2"/>
        <v>12.7</v>
      </c>
      <c r="R137" t="s">
        <v>55</v>
      </c>
      <c r="S137" t="s">
        <v>56</v>
      </c>
    </row>
    <row r="138" spans="1:19">
      <c r="A138">
        <v>137</v>
      </c>
      <c r="B138" t="s">
        <v>290</v>
      </c>
      <c r="C138">
        <v>20</v>
      </c>
      <c r="D138">
        <v>35</v>
      </c>
      <c r="E138">
        <v>10</v>
      </c>
      <c r="F138">
        <v>35</v>
      </c>
      <c r="G138">
        <v>20</v>
      </c>
      <c r="H138">
        <v>25</v>
      </c>
      <c r="I138">
        <v>35</v>
      </c>
      <c r="J138">
        <v>20</v>
      </c>
      <c r="K138" t="s">
        <v>134</v>
      </c>
      <c r="L138" t="s">
        <v>165</v>
      </c>
      <c r="M138" t="s">
        <v>149</v>
      </c>
      <c r="N138" t="s">
        <v>137</v>
      </c>
      <c r="O138">
        <f>ROUND(($C138*Loss_Constants!$B$2+$D138*Loss_Constants!$B$3+$E138*Loss_Constants!$B$4+$F138*Loss_Constants!$B$5)/100,1)</f>
        <v>10.4</v>
      </c>
      <c r="P138">
        <f>ROUND(($G138*Loss_Constants!$E$2+$H138*Loss_Constants!$E$3+$I138*Loss_Constants!$E$4+$J138*Loss_Constants!$E$5)/100,1)</f>
        <v>5.0999999999999996</v>
      </c>
      <c r="Q138">
        <f t="shared" si="2"/>
        <v>15.5</v>
      </c>
      <c r="R138" t="s">
        <v>53</v>
      </c>
      <c r="S138" t="s">
        <v>54</v>
      </c>
    </row>
    <row r="139" spans="1:19">
      <c r="A139">
        <v>138</v>
      </c>
      <c r="B139" t="s">
        <v>291</v>
      </c>
      <c r="C139">
        <v>25</v>
      </c>
      <c r="D139">
        <v>20</v>
      </c>
      <c r="E139">
        <v>10</v>
      </c>
      <c r="F139">
        <v>45</v>
      </c>
      <c r="G139">
        <v>65</v>
      </c>
      <c r="H139">
        <v>20</v>
      </c>
      <c r="I139">
        <v>10</v>
      </c>
      <c r="J139">
        <v>5</v>
      </c>
      <c r="K139" t="s">
        <v>172</v>
      </c>
      <c r="L139" t="s">
        <v>287</v>
      </c>
      <c r="M139" t="s">
        <v>149</v>
      </c>
      <c r="N139" t="s">
        <v>174</v>
      </c>
      <c r="O139">
        <f>ROUND(($C139*Loss_Constants!$B$2+$D139*Loss_Constants!$B$3+$E139*Loss_Constants!$B$4+$F139*Loss_Constants!$B$5)/100,1)</f>
        <v>12.2</v>
      </c>
      <c r="P139">
        <f>ROUND(($G139*Loss_Constants!$E$2+$H139*Loss_Constants!$E$3+$I139*Loss_Constants!$E$4+$J139*Loss_Constants!$E$5)/100,1)</f>
        <v>2.4</v>
      </c>
      <c r="Q139">
        <f t="shared" si="2"/>
        <v>14.6</v>
      </c>
      <c r="R139" t="s">
        <v>33</v>
      </c>
      <c r="S139" t="s">
        <v>34</v>
      </c>
    </row>
    <row r="140" spans="1:19">
      <c r="A140">
        <v>139</v>
      </c>
      <c r="B140" t="s">
        <v>292</v>
      </c>
      <c r="C140">
        <v>25</v>
      </c>
      <c r="D140">
        <v>55</v>
      </c>
      <c r="E140">
        <v>10</v>
      </c>
      <c r="F140">
        <v>10</v>
      </c>
      <c r="G140">
        <v>70</v>
      </c>
      <c r="H140">
        <v>25</v>
      </c>
      <c r="I140">
        <v>5</v>
      </c>
      <c r="J140">
        <v>0</v>
      </c>
      <c r="K140" t="s">
        <v>134</v>
      </c>
      <c r="L140" t="s">
        <v>135</v>
      </c>
      <c r="M140" t="s">
        <v>142</v>
      </c>
      <c r="N140" t="s">
        <v>143</v>
      </c>
      <c r="O140">
        <f>ROUND(($C140*Loss_Constants!$B$2+$D140*Loss_Constants!$B$3+$E140*Loss_Constants!$B$4+$F140*Loss_Constants!$B$5)/100,1)</f>
        <v>7.3</v>
      </c>
      <c r="P140">
        <f>ROUND(($G140*Loss_Constants!$E$2+$H140*Loss_Constants!$E$3+$I140*Loss_Constants!$E$4+$J140*Loss_Constants!$E$5)/100,1)</f>
        <v>1.8</v>
      </c>
      <c r="Q140">
        <f t="shared" si="2"/>
        <v>9.1</v>
      </c>
      <c r="R140" t="s">
        <v>21</v>
      </c>
      <c r="S140" t="s">
        <v>22</v>
      </c>
    </row>
    <row r="141" spans="1:19">
      <c r="A141">
        <v>140</v>
      </c>
      <c r="B141" t="s">
        <v>293</v>
      </c>
      <c r="C141">
        <v>20</v>
      </c>
      <c r="D141">
        <v>50</v>
      </c>
      <c r="E141">
        <v>20</v>
      </c>
      <c r="F141">
        <v>10</v>
      </c>
      <c r="G141">
        <v>45</v>
      </c>
      <c r="H141">
        <v>35</v>
      </c>
      <c r="I141">
        <v>15</v>
      </c>
      <c r="J141">
        <v>5</v>
      </c>
      <c r="K141" t="s">
        <v>134</v>
      </c>
      <c r="L141" t="s">
        <v>284</v>
      </c>
      <c r="M141" t="s">
        <v>136</v>
      </c>
      <c r="N141" t="s">
        <v>140</v>
      </c>
      <c r="O141">
        <f>ROUND(($C141*Loss_Constants!$B$2+$D141*Loss_Constants!$B$3+$E141*Loss_Constants!$B$4+$F141*Loss_Constants!$B$5)/100,1)</f>
        <v>6.8</v>
      </c>
      <c r="P141">
        <f>ROUND(($G141*Loss_Constants!$E$2+$H141*Loss_Constants!$E$3+$I141*Loss_Constants!$E$4+$J141*Loss_Constants!$E$5)/100,1)</f>
        <v>2.9</v>
      </c>
      <c r="Q141">
        <f t="shared" si="2"/>
        <v>9.6999999999999993</v>
      </c>
      <c r="R141" t="s">
        <v>25</v>
      </c>
      <c r="S141" t="s">
        <v>26</v>
      </c>
    </row>
    <row r="142" spans="1:19">
      <c r="A142">
        <v>141</v>
      </c>
      <c r="B142" t="s">
        <v>294</v>
      </c>
      <c r="C142">
        <v>20</v>
      </c>
      <c r="D142">
        <v>50</v>
      </c>
      <c r="E142">
        <v>20</v>
      </c>
      <c r="F142">
        <v>10</v>
      </c>
      <c r="G142">
        <v>45</v>
      </c>
      <c r="H142">
        <v>35</v>
      </c>
      <c r="I142">
        <v>15</v>
      </c>
      <c r="J142">
        <v>5</v>
      </c>
      <c r="K142" t="s">
        <v>134</v>
      </c>
      <c r="L142" t="s">
        <v>284</v>
      </c>
      <c r="M142" t="s">
        <v>136</v>
      </c>
      <c r="N142" t="s">
        <v>140</v>
      </c>
      <c r="O142">
        <f>ROUND(($C142*Loss_Constants!$B$2+$D142*Loss_Constants!$B$3+$E142*Loss_Constants!$B$4+$F142*Loss_Constants!$B$5)/100,1)</f>
        <v>6.8</v>
      </c>
      <c r="P142">
        <f>ROUND(($G142*Loss_Constants!$E$2+$H142*Loss_Constants!$E$3+$I142*Loss_Constants!$E$4+$J142*Loss_Constants!$E$5)/100,1)</f>
        <v>2.9</v>
      </c>
      <c r="Q142">
        <f t="shared" si="2"/>
        <v>9.6999999999999993</v>
      </c>
      <c r="R142" t="s">
        <v>25</v>
      </c>
      <c r="S142" t="s">
        <v>26</v>
      </c>
    </row>
    <row r="143" spans="1:19">
      <c r="A143">
        <v>142</v>
      </c>
      <c r="B143" t="s">
        <v>295</v>
      </c>
      <c r="C143">
        <v>20</v>
      </c>
      <c r="D143">
        <v>35</v>
      </c>
      <c r="E143">
        <v>10</v>
      </c>
      <c r="F143">
        <v>35</v>
      </c>
      <c r="G143">
        <v>20</v>
      </c>
      <c r="H143">
        <v>25</v>
      </c>
      <c r="I143">
        <v>35</v>
      </c>
      <c r="J143">
        <v>20</v>
      </c>
      <c r="K143" t="s">
        <v>134</v>
      </c>
      <c r="L143" t="s">
        <v>165</v>
      </c>
      <c r="M143" t="s">
        <v>149</v>
      </c>
      <c r="N143" t="s">
        <v>137</v>
      </c>
      <c r="O143">
        <f>ROUND(($C143*Loss_Constants!$B$2+$D143*Loss_Constants!$B$3+$E143*Loss_Constants!$B$4+$F143*Loss_Constants!$B$5)/100,1)</f>
        <v>10.4</v>
      </c>
      <c r="P143">
        <f>ROUND(($G143*Loss_Constants!$E$2+$H143*Loss_Constants!$E$3+$I143*Loss_Constants!$E$4+$J143*Loss_Constants!$E$5)/100,1)</f>
        <v>5.0999999999999996</v>
      </c>
      <c r="Q143">
        <f t="shared" si="2"/>
        <v>15.5</v>
      </c>
      <c r="R143" t="s">
        <v>53</v>
      </c>
      <c r="S143" t="s">
        <v>54</v>
      </c>
    </row>
    <row r="144" spans="1:19">
      <c r="A144">
        <v>143</v>
      </c>
      <c r="B144" t="s">
        <v>296</v>
      </c>
      <c r="C144">
        <v>20</v>
      </c>
      <c r="D144">
        <v>35</v>
      </c>
      <c r="E144">
        <v>20</v>
      </c>
      <c r="F144">
        <v>25</v>
      </c>
      <c r="G144">
        <v>35</v>
      </c>
      <c r="H144">
        <v>30</v>
      </c>
      <c r="I144">
        <v>25</v>
      </c>
      <c r="J144">
        <v>10</v>
      </c>
      <c r="K144" t="s">
        <v>134</v>
      </c>
      <c r="L144" t="s">
        <v>284</v>
      </c>
      <c r="M144" t="s">
        <v>136</v>
      </c>
      <c r="N144" t="s">
        <v>137</v>
      </c>
      <c r="O144">
        <f>ROUND(($C144*Loss_Constants!$B$2+$D144*Loss_Constants!$B$3+$E144*Loss_Constants!$B$4+$F144*Loss_Constants!$B$5)/100,1)</f>
        <v>8.9</v>
      </c>
      <c r="P144">
        <f>ROUND(($G144*Loss_Constants!$E$2+$H144*Loss_Constants!$E$3+$I144*Loss_Constants!$E$4+$J144*Loss_Constants!$E$5)/100,1)</f>
        <v>3.8</v>
      </c>
      <c r="Q144">
        <f t="shared" si="2"/>
        <v>12.7</v>
      </c>
      <c r="R144" t="s">
        <v>55</v>
      </c>
      <c r="S144" t="s">
        <v>56</v>
      </c>
    </row>
    <row r="145" spans="1:19">
      <c r="A145">
        <v>144</v>
      </c>
      <c r="B145" t="s">
        <v>297</v>
      </c>
      <c r="C145">
        <v>20</v>
      </c>
      <c r="D145">
        <v>50</v>
      </c>
      <c r="E145">
        <v>20</v>
      </c>
      <c r="F145">
        <v>10</v>
      </c>
      <c r="G145">
        <v>45</v>
      </c>
      <c r="H145">
        <v>35</v>
      </c>
      <c r="I145">
        <v>15</v>
      </c>
      <c r="J145">
        <v>5</v>
      </c>
      <c r="K145" t="s">
        <v>134</v>
      </c>
      <c r="L145" t="s">
        <v>284</v>
      </c>
      <c r="M145" t="s">
        <v>136</v>
      </c>
      <c r="N145" t="s">
        <v>140</v>
      </c>
      <c r="O145">
        <f>ROUND(($C145*Loss_Constants!$B$2+$D145*Loss_Constants!$B$3+$E145*Loss_Constants!$B$4+$F145*Loss_Constants!$B$5)/100,1)</f>
        <v>6.8</v>
      </c>
      <c r="P145">
        <f>ROUND(($G145*Loss_Constants!$E$2+$H145*Loss_Constants!$E$3+$I145*Loss_Constants!$E$4+$J145*Loss_Constants!$E$5)/100,1)</f>
        <v>2.9</v>
      </c>
      <c r="Q145">
        <f t="shared" si="2"/>
        <v>9.6999999999999993</v>
      </c>
      <c r="R145" t="s">
        <v>25</v>
      </c>
      <c r="S145" t="s">
        <v>26</v>
      </c>
    </row>
    <row r="146" spans="1:19">
      <c r="A146">
        <v>145</v>
      </c>
      <c r="B146" t="s">
        <v>298</v>
      </c>
      <c r="C146">
        <v>25</v>
      </c>
      <c r="D146">
        <v>55</v>
      </c>
      <c r="E146">
        <v>10</v>
      </c>
      <c r="F146">
        <v>10</v>
      </c>
      <c r="G146">
        <v>70</v>
      </c>
      <c r="H146">
        <v>25</v>
      </c>
      <c r="I146">
        <v>5</v>
      </c>
      <c r="J146">
        <v>0</v>
      </c>
      <c r="K146" t="s">
        <v>134</v>
      </c>
      <c r="L146" t="s">
        <v>135</v>
      </c>
      <c r="M146" t="s">
        <v>142</v>
      </c>
      <c r="N146" t="s">
        <v>143</v>
      </c>
      <c r="O146">
        <f>ROUND(($C146*Loss_Constants!$B$2+$D146*Loss_Constants!$B$3+$E146*Loss_Constants!$B$4+$F146*Loss_Constants!$B$5)/100,1)</f>
        <v>7.3</v>
      </c>
      <c r="P146">
        <f>ROUND(($G146*Loss_Constants!$E$2+$H146*Loss_Constants!$E$3+$I146*Loss_Constants!$E$4+$J146*Loss_Constants!$E$5)/100,1)</f>
        <v>1.8</v>
      </c>
      <c r="Q146">
        <f t="shared" si="2"/>
        <v>9.1</v>
      </c>
      <c r="R146" t="s">
        <v>21</v>
      </c>
      <c r="S146" t="s">
        <v>22</v>
      </c>
    </row>
    <row r="147" spans="1:19">
      <c r="A147">
        <v>146</v>
      </c>
      <c r="B147" t="s">
        <v>299</v>
      </c>
      <c r="C147">
        <v>20</v>
      </c>
      <c r="D147">
        <v>35</v>
      </c>
      <c r="E147">
        <v>10</v>
      </c>
      <c r="F147">
        <v>35</v>
      </c>
      <c r="G147">
        <v>20</v>
      </c>
      <c r="H147">
        <v>25</v>
      </c>
      <c r="I147">
        <v>35</v>
      </c>
      <c r="J147">
        <v>20</v>
      </c>
      <c r="K147" t="s">
        <v>134</v>
      </c>
      <c r="L147" t="s">
        <v>165</v>
      </c>
      <c r="M147" t="s">
        <v>149</v>
      </c>
      <c r="N147" t="s">
        <v>137</v>
      </c>
      <c r="O147">
        <f>ROUND(($C147*Loss_Constants!$B$2+$D147*Loss_Constants!$B$3+$E147*Loss_Constants!$B$4+$F147*Loss_Constants!$B$5)/100,1)</f>
        <v>10.4</v>
      </c>
      <c r="P147">
        <f>ROUND(($G147*Loss_Constants!$E$2+$H147*Loss_Constants!$E$3+$I147*Loss_Constants!$E$4+$J147*Loss_Constants!$E$5)/100,1)</f>
        <v>5.0999999999999996</v>
      </c>
      <c r="Q147">
        <f t="shared" si="2"/>
        <v>15.5</v>
      </c>
      <c r="R147" t="s">
        <v>53</v>
      </c>
      <c r="S147" t="s">
        <v>54</v>
      </c>
    </row>
    <row r="148" spans="1:19">
      <c r="A148">
        <v>147</v>
      </c>
      <c r="B148" t="s">
        <v>300</v>
      </c>
      <c r="C148">
        <v>25</v>
      </c>
      <c r="D148">
        <v>10</v>
      </c>
      <c r="E148">
        <v>0</v>
      </c>
      <c r="F148">
        <v>65</v>
      </c>
      <c r="G148">
        <v>10</v>
      </c>
      <c r="H148">
        <v>20</v>
      </c>
      <c r="I148">
        <v>30</v>
      </c>
      <c r="J148">
        <v>40</v>
      </c>
      <c r="K148" t="s">
        <v>147</v>
      </c>
      <c r="L148" t="s">
        <v>148</v>
      </c>
      <c r="M148" t="s">
        <v>149</v>
      </c>
      <c r="N148" t="s">
        <v>150</v>
      </c>
      <c r="O148">
        <f>ROUND(($C148*Loss_Constants!$B$2+$D148*Loss_Constants!$B$3+$E148*Loss_Constants!$B$4+$F148*Loss_Constants!$B$5)/100,1)</f>
        <v>15.1</v>
      </c>
      <c r="P148">
        <f>ROUND(($G148*Loss_Constants!$E$2+$H148*Loss_Constants!$E$3+$I148*Loss_Constants!$E$4+$J148*Loss_Constants!$E$5)/100,1)</f>
        <v>6.5</v>
      </c>
      <c r="Q148">
        <f t="shared" si="2"/>
        <v>21.6</v>
      </c>
      <c r="R148" t="s">
        <v>49</v>
      </c>
      <c r="S148" t="s">
        <v>50</v>
      </c>
    </row>
    <row r="149" spans="1:19">
      <c r="A149">
        <v>148</v>
      </c>
      <c r="B149" t="s">
        <v>301</v>
      </c>
      <c r="C149">
        <v>15</v>
      </c>
      <c r="D149">
        <v>55</v>
      </c>
      <c r="E149">
        <v>20</v>
      </c>
      <c r="F149">
        <v>10</v>
      </c>
      <c r="G149">
        <v>40</v>
      </c>
      <c r="H149">
        <v>40</v>
      </c>
      <c r="I149">
        <v>15</v>
      </c>
      <c r="J149">
        <v>5</v>
      </c>
      <c r="K149" t="s">
        <v>134</v>
      </c>
      <c r="L149" t="s">
        <v>135</v>
      </c>
      <c r="M149" t="s">
        <v>136</v>
      </c>
      <c r="N149" t="s">
        <v>140</v>
      </c>
      <c r="O149">
        <f>ROUND(($C149*Loss_Constants!$B$2+$D149*Loss_Constants!$B$3+$E149*Loss_Constants!$B$4+$F149*Loss_Constants!$B$5)/100,1)</f>
        <v>6.4</v>
      </c>
      <c r="P149">
        <f>ROUND(($G149*Loss_Constants!$E$2+$H149*Loss_Constants!$E$3+$I149*Loss_Constants!$E$4+$J149*Loss_Constants!$E$5)/100,1)</f>
        <v>3</v>
      </c>
      <c r="Q149">
        <f t="shared" si="2"/>
        <v>9.4</v>
      </c>
      <c r="R149" t="s">
        <v>61</v>
      </c>
      <c r="S149" t="s">
        <v>62</v>
      </c>
    </row>
    <row r="150" spans="1:19">
      <c r="A150">
        <v>149</v>
      </c>
      <c r="B150" t="s">
        <v>302</v>
      </c>
      <c r="C150">
        <v>25</v>
      </c>
      <c r="D150">
        <v>20</v>
      </c>
      <c r="E150">
        <v>5</v>
      </c>
      <c r="F150">
        <v>50</v>
      </c>
      <c r="G150">
        <v>45</v>
      </c>
      <c r="H150">
        <v>25</v>
      </c>
      <c r="I150">
        <v>20</v>
      </c>
      <c r="J150">
        <v>10</v>
      </c>
      <c r="K150" t="s">
        <v>134</v>
      </c>
      <c r="L150" t="s">
        <v>220</v>
      </c>
      <c r="M150" t="s">
        <v>179</v>
      </c>
      <c r="N150" t="s">
        <v>150</v>
      </c>
      <c r="O150">
        <f>ROUND(($C150*Loss_Constants!$B$2+$D150*Loss_Constants!$B$3+$E150*Loss_Constants!$B$4+$F150*Loss_Constants!$B$5)/100,1)</f>
        <v>13</v>
      </c>
      <c r="P150">
        <f>ROUND(($G150*Loss_Constants!$E$2+$H150*Loss_Constants!$E$3+$I150*Loss_Constants!$E$4+$J150*Loss_Constants!$E$5)/100,1)</f>
        <v>3.4</v>
      </c>
      <c r="Q150">
        <f t="shared" si="2"/>
        <v>16.399999999999999</v>
      </c>
      <c r="R150" t="s">
        <v>15</v>
      </c>
      <c r="S150" t="s">
        <v>16</v>
      </c>
    </row>
    <row r="151" spans="1:19">
      <c r="A151">
        <v>150</v>
      </c>
      <c r="B151" t="s">
        <v>303</v>
      </c>
      <c r="C151">
        <v>20</v>
      </c>
      <c r="D151">
        <v>20</v>
      </c>
      <c r="E151">
        <v>5</v>
      </c>
      <c r="F151">
        <v>55</v>
      </c>
      <c r="G151">
        <v>15</v>
      </c>
      <c r="H151">
        <v>25</v>
      </c>
      <c r="I151">
        <v>35</v>
      </c>
      <c r="J151">
        <v>25</v>
      </c>
      <c r="K151" t="s">
        <v>134</v>
      </c>
      <c r="L151" t="s">
        <v>284</v>
      </c>
      <c r="M151" t="s">
        <v>149</v>
      </c>
      <c r="N151" t="s">
        <v>137</v>
      </c>
      <c r="O151">
        <f>ROUND(($C151*Loss_Constants!$B$2+$D151*Loss_Constants!$B$3+$E151*Loss_Constants!$B$4+$F151*Loss_Constants!$B$5)/100,1)</f>
        <v>13.3</v>
      </c>
      <c r="P151">
        <f>ROUND(($G151*Loss_Constants!$E$2+$H151*Loss_Constants!$E$3+$I151*Loss_Constants!$E$4+$J151*Loss_Constants!$E$5)/100,1)</f>
        <v>5.5</v>
      </c>
      <c r="Q151">
        <f t="shared" si="2"/>
        <v>18.8</v>
      </c>
      <c r="R151" t="s">
        <v>9</v>
      </c>
      <c r="S151" t="s">
        <v>10</v>
      </c>
    </row>
    <row r="152" spans="1:19">
      <c r="A152">
        <v>151</v>
      </c>
      <c r="B152" t="s">
        <v>304</v>
      </c>
      <c r="C152">
        <v>20</v>
      </c>
      <c r="D152">
        <v>35</v>
      </c>
      <c r="E152">
        <v>20</v>
      </c>
      <c r="F152">
        <v>25</v>
      </c>
      <c r="G152">
        <v>35</v>
      </c>
      <c r="H152">
        <v>30</v>
      </c>
      <c r="I152">
        <v>25</v>
      </c>
      <c r="J152">
        <v>10</v>
      </c>
      <c r="K152" t="s">
        <v>134</v>
      </c>
      <c r="L152" t="s">
        <v>284</v>
      </c>
      <c r="M152" t="s">
        <v>136</v>
      </c>
      <c r="N152" t="s">
        <v>137</v>
      </c>
      <c r="O152">
        <f>ROUND(($C152*Loss_Constants!$B$2+$D152*Loss_Constants!$B$3+$E152*Loss_Constants!$B$4+$F152*Loss_Constants!$B$5)/100,1)</f>
        <v>8.9</v>
      </c>
      <c r="P152">
        <f>ROUND(($G152*Loss_Constants!$E$2+$H152*Loss_Constants!$E$3+$I152*Loss_Constants!$E$4+$J152*Loss_Constants!$E$5)/100,1)</f>
        <v>3.8</v>
      </c>
      <c r="Q152">
        <f t="shared" si="2"/>
        <v>12.7</v>
      </c>
      <c r="R152" t="s">
        <v>55</v>
      </c>
      <c r="S152" t="s">
        <v>56</v>
      </c>
    </row>
    <row r="153" spans="1:19">
      <c r="A153">
        <v>152</v>
      </c>
      <c r="B153" t="s">
        <v>305</v>
      </c>
      <c r="C153">
        <v>20</v>
      </c>
      <c r="D153">
        <v>35</v>
      </c>
      <c r="E153">
        <v>20</v>
      </c>
      <c r="F153">
        <v>25</v>
      </c>
      <c r="G153">
        <v>35</v>
      </c>
      <c r="H153">
        <v>30</v>
      </c>
      <c r="I153">
        <v>25</v>
      </c>
      <c r="J153">
        <v>10</v>
      </c>
      <c r="K153" t="s">
        <v>134</v>
      </c>
      <c r="L153" t="s">
        <v>284</v>
      </c>
      <c r="M153" t="s">
        <v>136</v>
      </c>
      <c r="N153" t="s">
        <v>137</v>
      </c>
      <c r="O153">
        <f>ROUND(($C153*Loss_Constants!$B$2+$D153*Loss_Constants!$B$3+$E153*Loss_Constants!$B$4+$F153*Loss_Constants!$B$5)/100,1)</f>
        <v>8.9</v>
      </c>
      <c r="P153">
        <f>ROUND(($G153*Loss_Constants!$E$2+$H153*Loss_Constants!$E$3+$I153*Loss_Constants!$E$4+$J153*Loss_Constants!$E$5)/100,1)</f>
        <v>3.8</v>
      </c>
      <c r="Q153">
        <f t="shared" si="2"/>
        <v>12.7</v>
      </c>
      <c r="R153" t="s">
        <v>55</v>
      </c>
      <c r="S153" t="s">
        <v>56</v>
      </c>
    </row>
    <row r="154" spans="1:19">
      <c r="A154">
        <v>153</v>
      </c>
      <c r="B154" t="s">
        <v>306</v>
      </c>
      <c r="C154">
        <v>20</v>
      </c>
      <c r="D154">
        <v>50</v>
      </c>
      <c r="E154">
        <v>20</v>
      </c>
      <c r="F154">
        <v>10</v>
      </c>
      <c r="G154">
        <v>45</v>
      </c>
      <c r="H154">
        <v>35</v>
      </c>
      <c r="I154">
        <v>15</v>
      </c>
      <c r="J154">
        <v>5</v>
      </c>
      <c r="K154" t="s">
        <v>134</v>
      </c>
      <c r="L154" t="s">
        <v>284</v>
      </c>
      <c r="M154" t="s">
        <v>136</v>
      </c>
      <c r="N154" t="s">
        <v>140</v>
      </c>
      <c r="O154">
        <f>ROUND(($C154*Loss_Constants!$B$2+$D154*Loss_Constants!$B$3+$E154*Loss_Constants!$B$4+$F154*Loss_Constants!$B$5)/100,1)</f>
        <v>6.8</v>
      </c>
      <c r="P154">
        <f>ROUND(($G154*Loss_Constants!$E$2+$H154*Loss_Constants!$E$3+$I154*Loss_Constants!$E$4+$J154*Loss_Constants!$E$5)/100,1)</f>
        <v>2.9</v>
      </c>
      <c r="Q154">
        <f t="shared" si="2"/>
        <v>9.6999999999999993</v>
      </c>
      <c r="R154" t="s">
        <v>25</v>
      </c>
      <c r="S154" t="s">
        <v>26</v>
      </c>
    </row>
    <row r="155" spans="1:19">
      <c r="A155">
        <v>154</v>
      </c>
      <c r="B155" t="s">
        <v>307</v>
      </c>
      <c r="C155">
        <v>20</v>
      </c>
      <c r="D155">
        <v>40</v>
      </c>
      <c r="E155">
        <v>30</v>
      </c>
      <c r="F155">
        <v>10</v>
      </c>
      <c r="G155">
        <v>60</v>
      </c>
      <c r="H155">
        <v>25</v>
      </c>
      <c r="I155">
        <v>10</v>
      </c>
      <c r="J155">
        <v>5</v>
      </c>
      <c r="K155" t="s">
        <v>134</v>
      </c>
      <c r="L155" t="s">
        <v>135</v>
      </c>
      <c r="M155" t="s">
        <v>142</v>
      </c>
      <c r="N155" t="s">
        <v>143</v>
      </c>
      <c r="O155">
        <f>ROUND(($C155*Loss_Constants!$B$2+$D155*Loss_Constants!$B$3+$E155*Loss_Constants!$B$4+$F155*Loss_Constants!$B$5)/100,1)</f>
        <v>6.7</v>
      </c>
      <c r="P155">
        <f>ROUND(($G155*Loss_Constants!$E$2+$H155*Loss_Constants!$E$3+$I155*Loss_Constants!$E$4+$J155*Loss_Constants!$E$5)/100,1)</f>
        <v>2.5</v>
      </c>
      <c r="Q155">
        <f t="shared" si="2"/>
        <v>9.1999999999999993</v>
      </c>
      <c r="R155" t="s">
        <v>59</v>
      </c>
      <c r="S155" t="s">
        <v>60</v>
      </c>
    </row>
    <row r="156" spans="1:19">
      <c r="A156">
        <v>155</v>
      </c>
      <c r="B156" t="s">
        <v>308</v>
      </c>
      <c r="C156">
        <v>20</v>
      </c>
      <c r="D156">
        <v>25</v>
      </c>
      <c r="E156">
        <v>0</v>
      </c>
      <c r="F156">
        <v>55</v>
      </c>
      <c r="G156">
        <v>10</v>
      </c>
      <c r="H156">
        <v>25</v>
      </c>
      <c r="I156">
        <v>35</v>
      </c>
      <c r="J156">
        <v>30</v>
      </c>
      <c r="K156" t="s">
        <v>134</v>
      </c>
      <c r="L156" t="s">
        <v>148</v>
      </c>
      <c r="M156" t="s">
        <v>136</v>
      </c>
      <c r="N156" t="s">
        <v>137</v>
      </c>
      <c r="O156">
        <f>ROUND(($C156*Loss_Constants!$B$2+$D156*Loss_Constants!$B$3+$E156*Loss_Constants!$B$4+$F156*Loss_Constants!$B$5)/100,1)</f>
        <v>13.3</v>
      </c>
      <c r="P156">
        <f>ROUND(($G156*Loss_Constants!$E$2+$H156*Loss_Constants!$E$3+$I156*Loss_Constants!$E$4+$J156*Loss_Constants!$E$5)/100,1)</f>
        <v>6</v>
      </c>
      <c r="Q156">
        <f t="shared" si="2"/>
        <v>19.3</v>
      </c>
      <c r="R156" t="s">
        <v>87</v>
      </c>
      <c r="S156" t="s">
        <v>88</v>
      </c>
    </row>
    <row r="157" spans="1:19">
      <c r="A157">
        <v>156</v>
      </c>
      <c r="B157" t="s">
        <v>309</v>
      </c>
      <c r="C157">
        <v>25</v>
      </c>
      <c r="D157">
        <v>20</v>
      </c>
      <c r="E157">
        <v>10</v>
      </c>
      <c r="F157">
        <v>45</v>
      </c>
      <c r="G157">
        <v>65</v>
      </c>
      <c r="H157">
        <v>20</v>
      </c>
      <c r="I157">
        <v>10</v>
      </c>
      <c r="J157">
        <v>5</v>
      </c>
      <c r="K157" t="s">
        <v>172</v>
      </c>
      <c r="L157" t="s">
        <v>287</v>
      </c>
      <c r="M157" t="s">
        <v>149</v>
      </c>
      <c r="N157" t="s">
        <v>174</v>
      </c>
      <c r="O157">
        <f>ROUND(($C157*Loss_Constants!$B$2+$D157*Loss_Constants!$B$3+$E157*Loss_Constants!$B$4+$F157*Loss_Constants!$B$5)/100,1)</f>
        <v>12.2</v>
      </c>
      <c r="P157">
        <f>ROUND(($G157*Loss_Constants!$E$2+$H157*Loss_Constants!$E$3+$I157*Loss_Constants!$E$4+$J157*Loss_Constants!$E$5)/100,1)</f>
        <v>2.4</v>
      </c>
      <c r="Q157">
        <f t="shared" si="2"/>
        <v>14.6</v>
      </c>
      <c r="R157" t="s">
        <v>33</v>
      </c>
      <c r="S157" t="s">
        <v>34</v>
      </c>
    </row>
    <row r="158" spans="1:19">
      <c r="A158">
        <v>157</v>
      </c>
      <c r="B158" t="s">
        <v>310</v>
      </c>
      <c r="C158">
        <v>25</v>
      </c>
      <c r="D158">
        <v>20</v>
      </c>
      <c r="E158">
        <v>10</v>
      </c>
      <c r="F158">
        <v>45</v>
      </c>
      <c r="G158">
        <v>65</v>
      </c>
      <c r="H158">
        <v>20</v>
      </c>
      <c r="I158">
        <v>10</v>
      </c>
      <c r="J158">
        <v>5</v>
      </c>
      <c r="K158" t="s">
        <v>172</v>
      </c>
      <c r="L158" t="s">
        <v>287</v>
      </c>
      <c r="M158" t="s">
        <v>149</v>
      </c>
      <c r="N158" t="s">
        <v>174</v>
      </c>
      <c r="O158">
        <f>ROUND(($C158*Loss_Constants!$B$2+$D158*Loss_Constants!$B$3+$E158*Loss_Constants!$B$4+$F158*Loss_Constants!$B$5)/100,1)</f>
        <v>12.2</v>
      </c>
      <c r="P158">
        <f>ROUND(($G158*Loss_Constants!$E$2+$H158*Loss_Constants!$E$3+$I158*Loss_Constants!$E$4+$J158*Loss_Constants!$E$5)/100,1)</f>
        <v>2.4</v>
      </c>
      <c r="Q158">
        <f t="shared" si="2"/>
        <v>14.6</v>
      </c>
      <c r="R158" t="s">
        <v>33</v>
      </c>
      <c r="S158" t="s">
        <v>34</v>
      </c>
    </row>
    <row r="159" spans="1:19">
      <c r="A159">
        <v>158</v>
      </c>
      <c r="B159" t="s">
        <v>311</v>
      </c>
      <c r="C159">
        <v>20</v>
      </c>
      <c r="D159">
        <v>40</v>
      </c>
      <c r="E159">
        <v>30</v>
      </c>
      <c r="F159">
        <v>10</v>
      </c>
      <c r="G159">
        <v>60</v>
      </c>
      <c r="H159">
        <v>25</v>
      </c>
      <c r="I159">
        <v>10</v>
      </c>
      <c r="J159">
        <v>5</v>
      </c>
      <c r="K159" t="s">
        <v>134</v>
      </c>
      <c r="L159" t="s">
        <v>135</v>
      </c>
      <c r="M159" t="s">
        <v>142</v>
      </c>
      <c r="N159" t="s">
        <v>143</v>
      </c>
      <c r="O159">
        <f>ROUND(($C159*Loss_Constants!$B$2+$D159*Loss_Constants!$B$3+$E159*Loss_Constants!$B$4+$F159*Loss_Constants!$B$5)/100,1)</f>
        <v>6.7</v>
      </c>
      <c r="P159">
        <f>ROUND(($G159*Loss_Constants!$E$2+$H159*Loss_Constants!$E$3+$I159*Loss_Constants!$E$4+$J159*Loss_Constants!$E$5)/100,1)</f>
        <v>2.5</v>
      </c>
      <c r="Q159">
        <f t="shared" si="2"/>
        <v>9.1999999999999993</v>
      </c>
      <c r="R159" t="s">
        <v>59</v>
      </c>
      <c r="S159" t="s">
        <v>60</v>
      </c>
    </row>
    <row r="160" spans="1:19">
      <c r="A160">
        <v>159</v>
      </c>
      <c r="B160" t="s">
        <v>312</v>
      </c>
      <c r="C160">
        <v>25</v>
      </c>
      <c r="D160">
        <v>10</v>
      </c>
      <c r="E160">
        <v>0</v>
      </c>
      <c r="F160">
        <v>65</v>
      </c>
      <c r="G160">
        <v>10</v>
      </c>
      <c r="H160">
        <v>20</v>
      </c>
      <c r="I160">
        <v>30</v>
      </c>
      <c r="J160">
        <v>40</v>
      </c>
      <c r="K160" t="s">
        <v>147</v>
      </c>
      <c r="L160" t="s">
        <v>148</v>
      </c>
      <c r="M160" t="s">
        <v>149</v>
      </c>
      <c r="N160" t="s">
        <v>150</v>
      </c>
      <c r="O160">
        <f>ROUND(($C160*Loss_Constants!$B$2+$D160*Loss_Constants!$B$3+$E160*Loss_Constants!$B$4+$F160*Loss_Constants!$B$5)/100,1)</f>
        <v>15.1</v>
      </c>
      <c r="P160">
        <f>ROUND(($G160*Loss_Constants!$E$2+$H160*Loss_Constants!$E$3+$I160*Loss_Constants!$E$4+$J160*Loss_Constants!$E$5)/100,1)</f>
        <v>6.5</v>
      </c>
      <c r="Q160">
        <f t="shared" si="2"/>
        <v>21.6</v>
      </c>
      <c r="R160" t="s">
        <v>49</v>
      </c>
      <c r="S160" t="s">
        <v>50</v>
      </c>
    </row>
    <row r="161" spans="1:19">
      <c r="A161">
        <v>160</v>
      </c>
      <c r="B161" t="s">
        <v>313</v>
      </c>
      <c r="C161">
        <v>20</v>
      </c>
      <c r="D161">
        <v>40</v>
      </c>
      <c r="E161">
        <v>30</v>
      </c>
      <c r="F161">
        <v>10</v>
      </c>
      <c r="G161">
        <v>60</v>
      </c>
      <c r="H161">
        <v>25</v>
      </c>
      <c r="I161">
        <v>10</v>
      </c>
      <c r="J161">
        <v>5</v>
      </c>
      <c r="K161" t="s">
        <v>134</v>
      </c>
      <c r="L161" t="s">
        <v>135</v>
      </c>
      <c r="M161" t="s">
        <v>142</v>
      </c>
      <c r="N161" t="s">
        <v>143</v>
      </c>
      <c r="O161">
        <f>ROUND(($C161*Loss_Constants!$B$2+$D161*Loss_Constants!$B$3+$E161*Loss_Constants!$B$4+$F161*Loss_Constants!$B$5)/100,1)</f>
        <v>6.7</v>
      </c>
      <c r="P161">
        <f>ROUND(($G161*Loss_Constants!$E$2+$H161*Loss_Constants!$E$3+$I161*Loss_Constants!$E$4+$J161*Loss_Constants!$E$5)/100,1)</f>
        <v>2.5</v>
      </c>
      <c r="Q161">
        <f t="shared" si="2"/>
        <v>9.1999999999999993</v>
      </c>
      <c r="R161" t="s">
        <v>59</v>
      </c>
      <c r="S161" t="s">
        <v>60</v>
      </c>
    </row>
    <row r="162" spans="1:19">
      <c r="A162">
        <v>161</v>
      </c>
      <c r="B162" t="s">
        <v>314</v>
      </c>
      <c r="C162">
        <v>15</v>
      </c>
      <c r="D162">
        <v>35</v>
      </c>
      <c r="E162">
        <v>20</v>
      </c>
      <c r="F162">
        <v>30</v>
      </c>
      <c r="G162">
        <v>45</v>
      </c>
      <c r="H162">
        <v>30</v>
      </c>
      <c r="I162">
        <v>20</v>
      </c>
      <c r="J162">
        <v>5</v>
      </c>
      <c r="K162" t="s">
        <v>172</v>
      </c>
      <c r="L162" t="s">
        <v>277</v>
      </c>
      <c r="M162" t="s">
        <v>149</v>
      </c>
      <c r="N162" t="s">
        <v>143</v>
      </c>
      <c r="O162">
        <f>ROUND(($C162*Loss_Constants!$B$2+$D162*Loss_Constants!$B$3+$E162*Loss_Constants!$B$4+$F162*Loss_Constants!$B$5)/100,1)</f>
        <v>9.1999999999999993</v>
      </c>
      <c r="P162">
        <f>ROUND(($G162*Loss_Constants!$E$2+$H162*Loss_Constants!$E$3+$I162*Loss_Constants!$E$4+$J162*Loss_Constants!$E$5)/100,1)</f>
        <v>3.1</v>
      </c>
      <c r="Q162">
        <f t="shared" si="2"/>
        <v>12.3</v>
      </c>
      <c r="R162" t="s">
        <v>27</v>
      </c>
      <c r="S162" t="s">
        <v>28</v>
      </c>
    </row>
    <row r="163" spans="1:19">
      <c r="A163">
        <v>162</v>
      </c>
      <c r="B163" t="s">
        <v>315</v>
      </c>
      <c r="C163">
        <v>20</v>
      </c>
      <c r="D163">
        <v>40</v>
      </c>
      <c r="E163">
        <v>30</v>
      </c>
      <c r="F163">
        <v>10</v>
      </c>
      <c r="G163">
        <v>60</v>
      </c>
      <c r="H163">
        <v>25</v>
      </c>
      <c r="I163">
        <v>10</v>
      </c>
      <c r="J163">
        <v>5</v>
      </c>
      <c r="K163" t="s">
        <v>134</v>
      </c>
      <c r="L163" t="s">
        <v>135</v>
      </c>
      <c r="M163" t="s">
        <v>142</v>
      </c>
      <c r="N163" t="s">
        <v>143</v>
      </c>
      <c r="O163">
        <f>ROUND(($C163*Loss_Constants!$B$2+$D163*Loss_Constants!$B$3+$E163*Loss_Constants!$B$4+$F163*Loss_Constants!$B$5)/100,1)</f>
        <v>6.7</v>
      </c>
      <c r="P163">
        <f>ROUND(($G163*Loss_Constants!$E$2+$H163*Loss_Constants!$E$3+$I163*Loss_Constants!$E$4+$J163*Loss_Constants!$E$5)/100,1)</f>
        <v>2.5</v>
      </c>
      <c r="Q163">
        <f t="shared" si="2"/>
        <v>9.1999999999999993</v>
      </c>
      <c r="R163" t="s">
        <v>59</v>
      </c>
      <c r="S163" t="s">
        <v>60</v>
      </c>
    </row>
    <row r="164" spans="1:19">
      <c r="A164">
        <v>163</v>
      </c>
      <c r="B164" t="s">
        <v>316</v>
      </c>
      <c r="C164">
        <v>15</v>
      </c>
      <c r="D164">
        <v>55</v>
      </c>
      <c r="E164">
        <v>20</v>
      </c>
      <c r="F164">
        <v>10</v>
      </c>
      <c r="G164">
        <v>40</v>
      </c>
      <c r="H164">
        <v>40</v>
      </c>
      <c r="I164">
        <v>15</v>
      </c>
      <c r="J164">
        <v>5</v>
      </c>
      <c r="K164" t="s">
        <v>134</v>
      </c>
      <c r="L164" t="s">
        <v>135</v>
      </c>
      <c r="M164" t="s">
        <v>136</v>
      </c>
      <c r="N164" t="s">
        <v>140</v>
      </c>
      <c r="O164">
        <f>ROUND(($C164*Loss_Constants!$B$2+$D164*Loss_Constants!$B$3+$E164*Loss_Constants!$B$4+$F164*Loss_Constants!$B$5)/100,1)</f>
        <v>6.4</v>
      </c>
      <c r="P164">
        <f>ROUND(($G164*Loss_Constants!$E$2+$H164*Loss_Constants!$E$3+$I164*Loss_Constants!$E$4+$J164*Loss_Constants!$E$5)/100,1)</f>
        <v>3</v>
      </c>
      <c r="Q164">
        <f t="shared" si="2"/>
        <v>9.4</v>
      </c>
      <c r="R164" t="s">
        <v>61</v>
      </c>
      <c r="S164" t="s">
        <v>62</v>
      </c>
    </row>
    <row r="165" spans="1:19">
      <c r="A165">
        <v>164</v>
      </c>
      <c r="B165" t="s">
        <v>317</v>
      </c>
      <c r="C165">
        <v>20</v>
      </c>
      <c r="D165">
        <v>50</v>
      </c>
      <c r="E165">
        <v>20</v>
      </c>
      <c r="F165">
        <v>10</v>
      </c>
      <c r="G165">
        <v>45</v>
      </c>
      <c r="H165">
        <v>35</v>
      </c>
      <c r="I165">
        <v>15</v>
      </c>
      <c r="J165">
        <v>5</v>
      </c>
      <c r="K165" t="s">
        <v>134</v>
      </c>
      <c r="L165" t="s">
        <v>284</v>
      </c>
      <c r="M165" t="s">
        <v>136</v>
      </c>
      <c r="N165" t="s">
        <v>140</v>
      </c>
      <c r="O165">
        <f>ROUND(($C165*Loss_Constants!$B$2+$D165*Loss_Constants!$B$3+$E165*Loss_Constants!$B$4+$F165*Loss_Constants!$B$5)/100,1)</f>
        <v>6.8</v>
      </c>
      <c r="P165">
        <f>ROUND(($G165*Loss_Constants!$E$2+$H165*Loss_Constants!$E$3+$I165*Loss_Constants!$E$4+$J165*Loss_Constants!$E$5)/100,1)</f>
        <v>2.9</v>
      </c>
      <c r="Q165">
        <f t="shared" si="2"/>
        <v>9.6999999999999993</v>
      </c>
      <c r="R165" t="s">
        <v>25</v>
      </c>
      <c r="S165" t="s">
        <v>26</v>
      </c>
    </row>
    <row r="166" spans="1:19">
      <c r="A166">
        <v>165</v>
      </c>
      <c r="B166" t="s">
        <v>318</v>
      </c>
      <c r="C166">
        <v>15</v>
      </c>
      <c r="D166">
        <v>35</v>
      </c>
      <c r="E166">
        <v>35</v>
      </c>
      <c r="F166">
        <v>15</v>
      </c>
      <c r="G166">
        <v>50</v>
      </c>
      <c r="H166">
        <v>30</v>
      </c>
      <c r="I166">
        <v>15</v>
      </c>
      <c r="J166">
        <v>5</v>
      </c>
      <c r="K166" t="s">
        <v>134</v>
      </c>
      <c r="L166" t="s">
        <v>277</v>
      </c>
      <c r="M166" t="s">
        <v>136</v>
      </c>
      <c r="N166" t="s">
        <v>143</v>
      </c>
      <c r="O166">
        <f>ROUND(($C166*Loss_Constants!$B$2+$D166*Loss_Constants!$B$3+$E166*Loss_Constants!$B$4+$F166*Loss_Constants!$B$5)/100,1)</f>
        <v>7</v>
      </c>
      <c r="P166">
        <f>ROUND(($G166*Loss_Constants!$E$2+$H166*Loss_Constants!$E$3+$I166*Loss_Constants!$E$4+$J166*Loss_Constants!$E$5)/100,1)</f>
        <v>2.8</v>
      </c>
      <c r="Q166">
        <f t="shared" si="2"/>
        <v>9.8000000000000007</v>
      </c>
      <c r="R166" t="s">
        <v>81</v>
      </c>
      <c r="S166" t="s">
        <v>82</v>
      </c>
    </row>
    <row r="167" spans="1:19">
      <c r="A167">
        <v>166</v>
      </c>
      <c r="B167" t="s">
        <v>319</v>
      </c>
      <c r="C167">
        <v>20</v>
      </c>
      <c r="D167">
        <v>40</v>
      </c>
      <c r="E167">
        <v>30</v>
      </c>
      <c r="F167">
        <v>10</v>
      </c>
      <c r="G167">
        <v>60</v>
      </c>
      <c r="H167">
        <v>25</v>
      </c>
      <c r="I167">
        <v>10</v>
      </c>
      <c r="J167">
        <v>5</v>
      </c>
      <c r="K167" t="s">
        <v>134</v>
      </c>
      <c r="L167" t="s">
        <v>135</v>
      </c>
      <c r="M167" t="s">
        <v>142</v>
      </c>
      <c r="N167" t="s">
        <v>143</v>
      </c>
      <c r="O167">
        <f>ROUND(($C167*Loss_Constants!$B$2+$D167*Loss_Constants!$B$3+$E167*Loss_Constants!$B$4+$F167*Loss_Constants!$B$5)/100,1)</f>
        <v>6.7</v>
      </c>
      <c r="P167">
        <f>ROUND(($G167*Loss_Constants!$E$2+$H167*Loss_Constants!$E$3+$I167*Loss_Constants!$E$4+$J167*Loss_Constants!$E$5)/100,1)</f>
        <v>2.5</v>
      </c>
      <c r="Q167">
        <f t="shared" si="2"/>
        <v>9.1999999999999993</v>
      </c>
      <c r="R167" t="s">
        <v>59</v>
      </c>
      <c r="S167" t="s">
        <v>60</v>
      </c>
    </row>
    <row r="168" spans="1:19">
      <c r="A168">
        <v>167</v>
      </c>
      <c r="B168" t="s">
        <v>320</v>
      </c>
      <c r="C168">
        <v>20</v>
      </c>
      <c r="D168">
        <v>25</v>
      </c>
      <c r="E168">
        <v>0</v>
      </c>
      <c r="F168">
        <v>55</v>
      </c>
      <c r="G168">
        <v>10</v>
      </c>
      <c r="H168">
        <v>25</v>
      </c>
      <c r="I168">
        <v>35</v>
      </c>
      <c r="J168">
        <v>30</v>
      </c>
      <c r="K168" t="s">
        <v>134</v>
      </c>
      <c r="L168" t="s">
        <v>148</v>
      </c>
      <c r="M168" t="s">
        <v>136</v>
      </c>
      <c r="N168" t="s">
        <v>137</v>
      </c>
      <c r="O168">
        <f>ROUND(($C168*Loss_Constants!$B$2+$D168*Loss_Constants!$B$3+$E168*Loss_Constants!$B$4+$F168*Loss_Constants!$B$5)/100,1)</f>
        <v>13.3</v>
      </c>
      <c r="P168">
        <f>ROUND(($G168*Loss_Constants!$E$2+$H168*Loss_Constants!$E$3+$I168*Loss_Constants!$E$4+$J168*Loss_Constants!$E$5)/100,1)</f>
        <v>6</v>
      </c>
      <c r="Q168">
        <f t="shared" si="2"/>
        <v>19.3</v>
      </c>
      <c r="R168" t="s">
        <v>87</v>
      </c>
      <c r="S168" t="s">
        <v>88</v>
      </c>
    </row>
    <row r="169" spans="1:19">
      <c r="A169">
        <v>168</v>
      </c>
      <c r="B169" t="s">
        <v>321</v>
      </c>
      <c r="C169">
        <v>25</v>
      </c>
      <c r="D169">
        <v>20</v>
      </c>
      <c r="E169">
        <v>10</v>
      </c>
      <c r="F169">
        <v>45</v>
      </c>
      <c r="G169">
        <v>65</v>
      </c>
      <c r="H169">
        <v>20</v>
      </c>
      <c r="I169">
        <v>10</v>
      </c>
      <c r="J169">
        <v>5</v>
      </c>
      <c r="K169" t="s">
        <v>172</v>
      </c>
      <c r="L169" t="s">
        <v>287</v>
      </c>
      <c r="M169" t="s">
        <v>149</v>
      </c>
      <c r="N169" t="s">
        <v>174</v>
      </c>
      <c r="O169">
        <f>ROUND(($C169*Loss_Constants!$B$2+$D169*Loss_Constants!$B$3+$E169*Loss_Constants!$B$4+$F169*Loss_Constants!$B$5)/100,1)</f>
        <v>12.2</v>
      </c>
      <c r="P169">
        <f>ROUND(($G169*Loss_Constants!$E$2+$H169*Loss_Constants!$E$3+$I169*Loss_Constants!$E$4+$J169*Loss_Constants!$E$5)/100,1)</f>
        <v>2.4</v>
      </c>
      <c r="Q169">
        <f t="shared" si="2"/>
        <v>14.6</v>
      </c>
      <c r="R169" t="s">
        <v>33</v>
      </c>
      <c r="S169" t="s">
        <v>34</v>
      </c>
    </row>
    <row r="170" spans="1:19">
      <c r="A170">
        <v>169</v>
      </c>
      <c r="B170" t="s">
        <v>322</v>
      </c>
      <c r="C170">
        <v>30</v>
      </c>
      <c r="D170">
        <v>45</v>
      </c>
      <c r="E170">
        <v>5</v>
      </c>
      <c r="F170">
        <v>20</v>
      </c>
      <c r="G170">
        <v>20</v>
      </c>
      <c r="H170">
        <v>40</v>
      </c>
      <c r="I170">
        <v>30</v>
      </c>
      <c r="J170">
        <v>10</v>
      </c>
      <c r="K170" t="s">
        <v>147</v>
      </c>
      <c r="L170" t="s">
        <v>323</v>
      </c>
      <c r="M170" t="s">
        <v>142</v>
      </c>
      <c r="N170" t="s">
        <v>137</v>
      </c>
      <c r="O170">
        <f>ROUND(($C170*Loss_Constants!$B$2+$D170*Loss_Constants!$B$3+$E170*Loss_Constants!$B$4+$F170*Loss_Constants!$B$5)/100,1)</f>
        <v>9.1999999999999993</v>
      </c>
      <c r="P170">
        <f>ROUND(($G170*Loss_Constants!$E$2+$H170*Loss_Constants!$E$3+$I170*Loss_Constants!$E$4+$J170*Loss_Constants!$E$5)/100,1)</f>
        <v>4.2</v>
      </c>
      <c r="Q170">
        <f t="shared" si="2"/>
        <v>13.4</v>
      </c>
      <c r="R170" t="s">
        <v>7</v>
      </c>
      <c r="S170" t="s">
        <v>8</v>
      </c>
    </row>
    <row r="171" spans="1:19">
      <c r="A171">
        <v>170</v>
      </c>
      <c r="B171" t="s">
        <v>324</v>
      </c>
      <c r="C171">
        <v>25</v>
      </c>
      <c r="D171">
        <v>20</v>
      </c>
      <c r="E171">
        <v>35</v>
      </c>
      <c r="F171">
        <v>20</v>
      </c>
      <c r="G171">
        <v>65</v>
      </c>
      <c r="H171">
        <v>20</v>
      </c>
      <c r="I171">
        <v>10</v>
      </c>
      <c r="J171">
        <v>5</v>
      </c>
      <c r="K171" t="s">
        <v>182</v>
      </c>
      <c r="L171" t="s">
        <v>183</v>
      </c>
      <c r="M171" t="s">
        <v>149</v>
      </c>
      <c r="N171" t="s">
        <v>143</v>
      </c>
      <c r="O171">
        <f>ROUND(($C171*Loss_Constants!$B$2+$D171*Loss_Constants!$B$3+$E171*Loss_Constants!$B$4+$F171*Loss_Constants!$B$5)/100,1)</f>
        <v>8.5</v>
      </c>
      <c r="P171">
        <f>ROUND(($G171*Loss_Constants!$E$2+$H171*Loss_Constants!$E$3+$I171*Loss_Constants!$E$4+$J171*Loss_Constants!$E$5)/100,1)</f>
        <v>2.4</v>
      </c>
      <c r="Q171">
        <f t="shared" si="2"/>
        <v>10.9</v>
      </c>
      <c r="R171" t="s">
        <v>3</v>
      </c>
      <c r="S171" t="s">
        <v>4</v>
      </c>
    </row>
    <row r="172" spans="1:19">
      <c r="A172">
        <v>171</v>
      </c>
      <c r="B172" t="s">
        <v>325</v>
      </c>
      <c r="C172">
        <v>30</v>
      </c>
      <c r="D172">
        <v>35</v>
      </c>
      <c r="E172">
        <v>5</v>
      </c>
      <c r="F172">
        <v>30</v>
      </c>
      <c r="G172">
        <v>20</v>
      </c>
      <c r="H172">
        <v>25</v>
      </c>
      <c r="I172">
        <v>35</v>
      </c>
      <c r="J172">
        <v>20</v>
      </c>
      <c r="K172" t="s">
        <v>134</v>
      </c>
      <c r="L172" t="s">
        <v>178</v>
      </c>
      <c r="M172" t="s">
        <v>179</v>
      </c>
      <c r="N172" t="s">
        <v>137</v>
      </c>
      <c r="O172">
        <f>ROUND(($C172*Loss_Constants!$B$2+$D172*Loss_Constants!$B$3+$E172*Loss_Constants!$B$4+$F172*Loss_Constants!$B$5)/100,1)</f>
        <v>10.6</v>
      </c>
      <c r="P172">
        <f>ROUND(($G172*Loss_Constants!$E$2+$H172*Loss_Constants!$E$3+$I172*Loss_Constants!$E$4+$J172*Loss_Constants!$E$5)/100,1)</f>
        <v>5.0999999999999996</v>
      </c>
      <c r="Q172">
        <f t="shared" si="2"/>
        <v>15.7</v>
      </c>
      <c r="R172" t="s">
        <v>41</v>
      </c>
      <c r="S172" t="s">
        <v>42</v>
      </c>
    </row>
    <row r="173" spans="1:19">
      <c r="A173">
        <v>172</v>
      </c>
      <c r="B173" t="s">
        <v>326</v>
      </c>
      <c r="C173">
        <v>15</v>
      </c>
      <c r="D173">
        <v>55</v>
      </c>
      <c r="E173">
        <v>20</v>
      </c>
      <c r="F173">
        <v>10</v>
      </c>
      <c r="G173">
        <v>45</v>
      </c>
      <c r="H173">
        <v>35</v>
      </c>
      <c r="I173">
        <v>15</v>
      </c>
      <c r="J173">
        <v>5</v>
      </c>
      <c r="K173" t="s">
        <v>134</v>
      </c>
      <c r="L173" t="s">
        <v>135</v>
      </c>
      <c r="M173" t="s">
        <v>136</v>
      </c>
      <c r="N173" t="s">
        <v>137</v>
      </c>
      <c r="O173">
        <f>ROUND(($C173*Loss_Constants!$B$2+$D173*Loss_Constants!$B$3+$E173*Loss_Constants!$B$4+$F173*Loss_Constants!$B$5)/100,1)</f>
        <v>6.4</v>
      </c>
      <c r="P173">
        <f>ROUND(($G173*Loss_Constants!$E$2+$H173*Loss_Constants!$E$3+$I173*Loss_Constants!$E$4+$J173*Loss_Constants!$E$5)/100,1)</f>
        <v>2.9</v>
      </c>
      <c r="Q173">
        <f t="shared" si="2"/>
        <v>9.3000000000000007</v>
      </c>
      <c r="R173" t="s">
        <v>1</v>
      </c>
      <c r="S173" t="s">
        <v>2</v>
      </c>
    </row>
    <row r="174" spans="1:19">
      <c r="A174">
        <v>173</v>
      </c>
      <c r="B174" t="s">
        <v>327</v>
      </c>
      <c r="C174">
        <v>20</v>
      </c>
      <c r="D174">
        <v>25</v>
      </c>
      <c r="E174">
        <v>0</v>
      </c>
      <c r="F174">
        <v>55</v>
      </c>
      <c r="G174">
        <v>10</v>
      </c>
      <c r="H174">
        <v>25</v>
      </c>
      <c r="I174">
        <v>35</v>
      </c>
      <c r="J174">
        <v>30</v>
      </c>
      <c r="K174" t="s">
        <v>134</v>
      </c>
      <c r="L174" t="s">
        <v>148</v>
      </c>
      <c r="M174" t="s">
        <v>136</v>
      </c>
      <c r="N174" t="s">
        <v>137</v>
      </c>
      <c r="O174">
        <f>ROUND(($C174*Loss_Constants!$B$2+$D174*Loss_Constants!$B$3+$E174*Loss_Constants!$B$4+$F174*Loss_Constants!$B$5)/100,1)</f>
        <v>13.3</v>
      </c>
      <c r="P174">
        <f>ROUND(($G174*Loss_Constants!$E$2+$H174*Loss_Constants!$E$3+$I174*Loss_Constants!$E$4+$J174*Loss_Constants!$E$5)/100,1)</f>
        <v>6</v>
      </c>
      <c r="Q174">
        <f t="shared" si="2"/>
        <v>19.3</v>
      </c>
      <c r="R174" t="s">
        <v>87</v>
      </c>
      <c r="S174" t="s">
        <v>88</v>
      </c>
    </row>
    <row r="175" spans="1:19">
      <c r="A175">
        <v>174</v>
      </c>
      <c r="B175" t="s">
        <v>328</v>
      </c>
      <c r="C175">
        <v>20</v>
      </c>
      <c r="D175">
        <v>40</v>
      </c>
      <c r="E175">
        <v>30</v>
      </c>
      <c r="F175">
        <v>10</v>
      </c>
      <c r="G175">
        <v>60</v>
      </c>
      <c r="H175">
        <v>25</v>
      </c>
      <c r="I175">
        <v>10</v>
      </c>
      <c r="J175">
        <v>5</v>
      </c>
      <c r="K175" t="s">
        <v>134</v>
      </c>
      <c r="L175" t="s">
        <v>135</v>
      </c>
      <c r="M175" t="s">
        <v>142</v>
      </c>
      <c r="N175" t="s">
        <v>143</v>
      </c>
      <c r="O175">
        <f>ROUND(($C175*Loss_Constants!$B$2+$D175*Loss_Constants!$B$3+$E175*Loss_Constants!$B$4+$F175*Loss_Constants!$B$5)/100,1)</f>
        <v>6.7</v>
      </c>
      <c r="P175">
        <f>ROUND(($G175*Loss_Constants!$E$2+$H175*Loss_Constants!$E$3+$I175*Loss_Constants!$E$4+$J175*Loss_Constants!$E$5)/100,1)</f>
        <v>2.5</v>
      </c>
      <c r="Q175">
        <f t="shared" si="2"/>
        <v>9.1999999999999993</v>
      </c>
      <c r="R175" t="s">
        <v>59</v>
      </c>
      <c r="S175" t="s">
        <v>60</v>
      </c>
    </row>
    <row r="176" spans="1:19">
      <c r="A176">
        <v>175</v>
      </c>
      <c r="B176" t="s">
        <v>329</v>
      </c>
      <c r="C176">
        <v>15</v>
      </c>
      <c r="D176">
        <v>35</v>
      </c>
      <c r="E176">
        <v>35</v>
      </c>
      <c r="F176">
        <v>15</v>
      </c>
      <c r="G176">
        <v>50</v>
      </c>
      <c r="H176">
        <v>30</v>
      </c>
      <c r="I176">
        <v>15</v>
      </c>
      <c r="J176">
        <v>5</v>
      </c>
      <c r="K176" t="s">
        <v>134</v>
      </c>
      <c r="L176" t="s">
        <v>277</v>
      </c>
      <c r="M176" t="s">
        <v>136</v>
      </c>
      <c r="N176" t="s">
        <v>143</v>
      </c>
      <c r="O176">
        <f>ROUND(($C176*Loss_Constants!$B$2+$D176*Loss_Constants!$B$3+$E176*Loss_Constants!$B$4+$F176*Loss_Constants!$B$5)/100,1)</f>
        <v>7</v>
      </c>
      <c r="P176">
        <f>ROUND(($G176*Loss_Constants!$E$2+$H176*Loss_Constants!$E$3+$I176*Loss_Constants!$E$4+$J176*Loss_Constants!$E$5)/100,1)</f>
        <v>2.8</v>
      </c>
      <c r="Q176">
        <f t="shared" si="2"/>
        <v>9.8000000000000007</v>
      </c>
      <c r="R176" t="s">
        <v>81</v>
      </c>
      <c r="S176" t="s">
        <v>82</v>
      </c>
    </row>
    <row r="177" spans="1:19">
      <c r="A177">
        <v>176</v>
      </c>
      <c r="B177" t="s">
        <v>330</v>
      </c>
      <c r="C177">
        <v>20</v>
      </c>
      <c r="D177">
        <v>40</v>
      </c>
      <c r="E177">
        <v>30</v>
      </c>
      <c r="F177">
        <v>10</v>
      </c>
      <c r="G177">
        <v>60</v>
      </c>
      <c r="H177">
        <v>25</v>
      </c>
      <c r="I177">
        <v>10</v>
      </c>
      <c r="J177">
        <v>5</v>
      </c>
      <c r="K177" t="s">
        <v>134</v>
      </c>
      <c r="L177" t="s">
        <v>135</v>
      </c>
      <c r="M177" t="s">
        <v>142</v>
      </c>
      <c r="N177" t="s">
        <v>143</v>
      </c>
      <c r="O177">
        <f>ROUND(($C177*Loss_Constants!$B$2+$D177*Loss_Constants!$B$3+$E177*Loss_Constants!$B$4+$F177*Loss_Constants!$B$5)/100,1)</f>
        <v>6.7</v>
      </c>
      <c r="P177">
        <f>ROUND(($G177*Loss_Constants!$E$2+$H177*Loss_Constants!$E$3+$I177*Loss_Constants!$E$4+$J177*Loss_Constants!$E$5)/100,1)</f>
        <v>2.5</v>
      </c>
      <c r="Q177">
        <f t="shared" si="2"/>
        <v>9.1999999999999993</v>
      </c>
      <c r="R177" t="s">
        <v>59</v>
      </c>
      <c r="S177" t="s">
        <v>60</v>
      </c>
    </row>
    <row r="178" spans="1:19">
      <c r="A178">
        <v>177</v>
      </c>
      <c r="B178" t="s">
        <v>331</v>
      </c>
      <c r="C178">
        <v>25</v>
      </c>
      <c r="D178">
        <v>20</v>
      </c>
      <c r="E178">
        <v>10</v>
      </c>
      <c r="F178">
        <v>45</v>
      </c>
      <c r="G178">
        <v>65</v>
      </c>
      <c r="H178">
        <v>20</v>
      </c>
      <c r="I178">
        <v>10</v>
      </c>
      <c r="J178">
        <v>5</v>
      </c>
      <c r="K178" t="s">
        <v>172</v>
      </c>
      <c r="L178" t="s">
        <v>287</v>
      </c>
      <c r="M178" t="s">
        <v>149</v>
      </c>
      <c r="N178" t="s">
        <v>174</v>
      </c>
      <c r="O178">
        <f>ROUND(($C178*Loss_Constants!$B$2+$D178*Loss_Constants!$B$3+$E178*Loss_Constants!$B$4+$F178*Loss_Constants!$B$5)/100,1)</f>
        <v>12.2</v>
      </c>
      <c r="P178">
        <f>ROUND(($G178*Loss_Constants!$E$2+$H178*Loss_Constants!$E$3+$I178*Loss_Constants!$E$4+$J178*Loss_Constants!$E$5)/100,1)</f>
        <v>2.4</v>
      </c>
      <c r="Q178">
        <f t="shared" si="2"/>
        <v>14.6</v>
      </c>
      <c r="R178" t="s">
        <v>33</v>
      </c>
      <c r="S178" t="s">
        <v>34</v>
      </c>
    </row>
    <row r="179" spans="1:19">
      <c r="A179">
        <v>178</v>
      </c>
      <c r="B179" t="s">
        <v>332</v>
      </c>
      <c r="C179">
        <v>15</v>
      </c>
      <c r="D179">
        <v>35</v>
      </c>
      <c r="E179">
        <v>35</v>
      </c>
      <c r="F179">
        <v>15</v>
      </c>
      <c r="G179">
        <v>50</v>
      </c>
      <c r="H179">
        <v>30</v>
      </c>
      <c r="I179">
        <v>15</v>
      </c>
      <c r="J179">
        <v>5</v>
      </c>
      <c r="K179" t="s">
        <v>134</v>
      </c>
      <c r="L179" t="s">
        <v>277</v>
      </c>
      <c r="M179" t="s">
        <v>136</v>
      </c>
      <c r="N179" t="s">
        <v>143</v>
      </c>
      <c r="O179">
        <f>ROUND(($C179*Loss_Constants!$B$2+$D179*Loss_Constants!$B$3+$E179*Loss_Constants!$B$4+$F179*Loss_Constants!$B$5)/100,1)</f>
        <v>7</v>
      </c>
      <c r="P179">
        <f>ROUND(($G179*Loss_Constants!$E$2+$H179*Loss_Constants!$E$3+$I179*Loss_Constants!$E$4+$J179*Loss_Constants!$E$5)/100,1)</f>
        <v>2.8</v>
      </c>
      <c r="Q179">
        <f t="shared" si="2"/>
        <v>9.8000000000000007</v>
      </c>
      <c r="R179" t="s">
        <v>81</v>
      </c>
      <c r="S179" t="s">
        <v>82</v>
      </c>
    </row>
    <row r="180" spans="1:19">
      <c r="A180">
        <v>179</v>
      </c>
      <c r="B180" t="s">
        <v>333</v>
      </c>
      <c r="C180">
        <v>20</v>
      </c>
      <c r="D180">
        <v>10</v>
      </c>
      <c r="E180">
        <v>5</v>
      </c>
      <c r="F180">
        <v>65</v>
      </c>
      <c r="G180">
        <v>25</v>
      </c>
      <c r="H180">
        <v>20</v>
      </c>
      <c r="I180">
        <v>35</v>
      </c>
      <c r="J180">
        <v>20</v>
      </c>
      <c r="K180" t="s">
        <v>172</v>
      </c>
      <c r="L180" t="s">
        <v>148</v>
      </c>
      <c r="M180" t="s">
        <v>149</v>
      </c>
      <c r="N180" t="s">
        <v>140</v>
      </c>
      <c r="O180">
        <f>ROUND(($C180*Loss_Constants!$B$2+$D180*Loss_Constants!$B$3+$E180*Loss_Constants!$B$4+$F180*Loss_Constants!$B$5)/100,1)</f>
        <v>14.7</v>
      </c>
      <c r="P180">
        <f>ROUND(($G180*Loss_Constants!$E$2+$H180*Loss_Constants!$E$3+$I180*Loss_Constants!$E$4+$J180*Loss_Constants!$E$5)/100,1)</f>
        <v>5</v>
      </c>
      <c r="Q180">
        <f t="shared" si="2"/>
        <v>19.7</v>
      </c>
      <c r="R180" t="s">
        <v>89</v>
      </c>
      <c r="S180" t="s">
        <v>90</v>
      </c>
    </row>
    <row r="181" spans="1:19">
      <c r="A181">
        <v>180</v>
      </c>
      <c r="B181" t="s">
        <v>334</v>
      </c>
      <c r="C181">
        <v>25</v>
      </c>
      <c r="D181">
        <v>10</v>
      </c>
      <c r="E181">
        <v>0</v>
      </c>
      <c r="F181">
        <v>65</v>
      </c>
      <c r="G181">
        <v>10</v>
      </c>
      <c r="H181">
        <v>20</v>
      </c>
      <c r="I181">
        <v>30</v>
      </c>
      <c r="J181">
        <v>40</v>
      </c>
      <c r="K181" t="s">
        <v>147</v>
      </c>
      <c r="L181" t="s">
        <v>148</v>
      </c>
      <c r="M181" t="s">
        <v>149</v>
      </c>
      <c r="N181" t="s">
        <v>150</v>
      </c>
      <c r="O181">
        <f>ROUND(($C181*Loss_Constants!$B$2+$D181*Loss_Constants!$B$3+$E181*Loss_Constants!$B$4+$F181*Loss_Constants!$B$5)/100,1)</f>
        <v>15.1</v>
      </c>
      <c r="P181">
        <f>ROUND(($G181*Loss_Constants!$E$2+$H181*Loss_Constants!$E$3+$I181*Loss_Constants!$E$4+$J181*Loss_Constants!$E$5)/100,1)</f>
        <v>6.5</v>
      </c>
      <c r="Q181">
        <f t="shared" si="2"/>
        <v>21.6</v>
      </c>
      <c r="R181" t="s">
        <v>49</v>
      </c>
      <c r="S181" t="s">
        <v>50</v>
      </c>
    </row>
    <row r="182" spans="1:19">
      <c r="A182">
        <v>181</v>
      </c>
      <c r="B182" t="s">
        <v>335</v>
      </c>
      <c r="C182">
        <v>15</v>
      </c>
      <c r="D182">
        <v>35</v>
      </c>
      <c r="E182">
        <v>35</v>
      </c>
      <c r="F182">
        <v>15</v>
      </c>
      <c r="G182">
        <v>50</v>
      </c>
      <c r="H182">
        <v>30</v>
      </c>
      <c r="I182">
        <v>15</v>
      </c>
      <c r="J182">
        <v>5</v>
      </c>
      <c r="K182" t="s">
        <v>134</v>
      </c>
      <c r="L182" t="s">
        <v>277</v>
      </c>
      <c r="M182" t="s">
        <v>136</v>
      </c>
      <c r="N182" t="s">
        <v>143</v>
      </c>
      <c r="O182">
        <f>ROUND(($C182*Loss_Constants!$B$2+$D182*Loss_Constants!$B$3+$E182*Loss_Constants!$B$4+$F182*Loss_Constants!$B$5)/100,1)</f>
        <v>7</v>
      </c>
      <c r="P182">
        <f>ROUND(($G182*Loss_Constants!$E$2+$H182*Loss_Constants!$E$3+$I182*Loss_Constants!$E$4+$J182*Loss_Constants!$E$5)/100,1)</f>
        <v>2.8</v>
      </c>
      <c r="Q182">
        <f t="shared" si="2"/>
        <v>9.8000000000000007</v>
      </c>
      <c r="R182" t="s">
        <v>81</v>
      </c>
      <c r="S182" t="s">
        <v>82</v>
      </c>
    </row>
    <row r="183" spans="1:19">
      <c r="A183">
        <v>182</v>
      </c>
      <c r="B183" t="s">
        <v>336</v>
      </c>
      <c r="C183">
        <v>20</v>
      </c>
      <c r="D183">
        <v>10</v>
      </c>
      <c r="E183">
        <v>5</v>
      </c>
      <c r="F183">
        <v>65</v>
      </c>
      <c r="G183">
        <v>25</v>
      </c>
      <c r="H183">
        <v>20</v>
      </c>
      <c r="I183">
        <v>35</v>
      </c>
      <c r="J183">
        <v>20</v>
      </c>
      <c r="K183" t="s">
        <v>172</v>
      </c>
      <c r="L183" t="s">
        <v>148</v>
      </c>
      <c r="M183" t="s">
        <v>149</v>
      </c>
      <c r="N183" t="s">
        <v>140</v>
      </c>
      <c r="O183">
        <f>ROUND(($C183*Loss_Constants!$B$2+$D183*Loss_Constants!$B$3+$E183*Loss_Constants!$B$4+$F183*Loss_Constants!$B$5)/100,1)</f>
        <v>14.7</v>
      </c>
      <c r="P183">
        <f>ROUND(($G183*Loss_Constants!$E$2+$H183*Loss_Constants!$E$3+$I183*Loss_Constants!$E$4+$J183*Loss_Constants!$E$5)/100,1)</f>
        <v>5</v>
      </c>
      <c r="Q183">
        <f t="shared" si="2"/>
        <v>19.7</v>
      </c>
      <c r="R183" t="s">
        <v>89</v>
      </c>
      <c r="S183" t="s">
        <v>90</v>
      </c>
    </row>
    <row r="184" spans="1:19">
      <c r="A184">
        <v>183</v>
      </c>
      <c r="B184" t="s">
        <v>337</v>
      </c>
      <c r="C184">
        <v>15</v>
      </c>
      <c r="D184">
        <v>35</v>
      </c>
      <c r="E184">
        <v>35</v>
      </c>
      <c r="F184">
        <v>15</v>
      </c>
      <c r="G184">
        <v>50</v>
      </c>
      <c r="H184">
        <v>30</v>
      </c>
      <c r="I184">
        <v>15</v>
      </c>
      <c r="J184">
        <v>5</v>
      </c>
      <c r="K184" t="s">
        <v>134</v>
      </c>
      <c r="L184" t="s">
        <v>277</v>
      </c>
      <c r="M184" t="s">
        <v>136</v>
      </c>
      <c r="N184" t="s">
        <v>143</v>
      </c>
      <c r="O184">
        <f>ROUND(($C184*Loss_Constants!$B$2+$D184*Loss_Constants!$B$3+$E184*Loss_Constants!$B$4+$F184*Loss_Constants!$B$5)/100,1)</f>
        <v>7</v>
      </c>
      <c r="P184">
        <f>ROUND(($G184*Loss_Constants!$E$2+$H184*Loss_Constants!$E$3+$I184*Loss_Constants!$E$4+$J184*Loss_Constants!$E$5)/100,1)</f>
        <v>2.8</v>
      </c>
      <c r="Q184">
        <f t="shared" si="2"/>
        <v>9.8000000000000007</v>
      </c>
      <c r="R184" t="s">
        <v>81</v>
      </c>
      <c r="S184" t="s">
        <v>82</v>
      </c>
    </row>
    <row r="185" spans="1:19">
      <c r="A185">
        <v>184</v>
      </c>
      <c r="B185" t="s">
        <v>338</v>
      </c>
      <c r="C185">
        <v>20</v>
      </c>
      <c r="D185">
        <v>10</v>
      </c>
      <c r="E185">
        <v>5</v>
      </c>
      <c r="F185">
        <v>65</v>
      </c>
      <c r="G185">
        <v>25</v>
      </c>
      <c r="H185">
        <v>20</v>
      </c>
      <c r="I185">
        <v>35</v>
      </c>
      <c r="J185">
        <v>20</v>
      </c>
      <c r="K185" t="s">
        <v>172</v>
      </c>
      <c r="L185" t="s">
        <v>148</v>
      </c>
      <c r="M185" t="s">
        <v>149</v>
      </c>
      <c r="N185" t="s">
        <v>140</v>
      </c>
      <c r="O185">
        <f>ROUND(($C185*Loss_Constants!$B$2+$D185*Loss_Constants!$B$3+$E185*Loss_Constants!$B$4+$F185*Loss_Constants!$B$5)/100,1)</f>
        <v>14.7</v>
      </c>
      <c r="P185">
        <f>ROUND(($G185*Loss_Constants!$E$2+$H185*Loss_Constants!$E$3+$I185*Loss_Constants!$E$4+$J185*Loss_Constants!$E$5)/100,1)</f>
        <v>5</v>
      </c>
      <c r="Q185">
        <f t="shared" si="2"/>
        <v>19.7</v>
      </c>
      <c r="R185" t="s">
        <v>89</v>
      </c>
      <c r="S185" t="s">
        <v>90</v>
      </c>
    </row>
    <row r="186" spans="1:19">
      <c r="A186">
        <v>185</v>
      </c>
      <c r="B186" t="s">
        <v>339</v>
      </c>
      <c r="C186">
        <v>30</v>
      </c>
      <c r="D186">
        <v>35</v>
      </c>
      <c r="E186">
        <v>5</v>
      </c>
      <c r="F186">
        <v>30</v>
      </c>
      <c r="G186">
        <v>20</v>
      </c>
      <c r="H186">
        <v>25</v>
      </c>
      <c r="I186">
        <v>35</v>
      </c>
      <c r="J186">
        <v>20</v>
      </c>
      <c r="K186" t="s">
        <v>134</v>
      </c>
      <c r="L186" t="s">
        <v>178</v>
      </c>
      <c r="M186" t="s">
        <v>179</v>
      </c>
      <c r="N186" t="s">
        <v>137</v>
      </c>
      <c r="O186">
        <f>ROUND(($C186*Loss_Constants!$B$2+$D186*Loss_Constants!$B$3+$E186*Loss_Constants!$B$4+$F186*Loss_Constants!$B$5)/100,1)</f>
        <v>10.6</v>
      </c>
      <c r="P186">
        <f>ROUND(($G186*Loss_Constants!$E$2+$H186*Loss_Constants!$E$3+$I186*Loss_Constants!$E$4+$J186*Loss_Constants!$E$5)/100,1)</f>
        <v>5.0999999999999996</v>
      </c>
      <c r="Q186">
        <f t="shared" si="2"/>
        <v>15.7</v>
      </c>
      <c r="R186" t="s">
        <v>41</v>
      </c>
      <c r="S186" t="s">
        <v>42</v>
      </c>
    </row>
    <row r="187" spans="1:19">
      <c r="A187">
        <v>186</v>
      </c>
      <c r="B187" t="s">
        <v>340</v>
      </c>
      <c r="C187">
        <v>20</v>
      </c>
      <c r="D187">
        <v>20</v>
      </c>
      <c r="E187">
        <v>10</v>
      </c>
      <c r="F187">
        <v>50</v>
      </c>
      <c r="G187">
        <v>40</v>
      </c>
      <c r="H187">
        <v>25</v>
      </c>
      <c r="I187">
        <v>25</v>
      </c>
      <c r="J187">
        <v>10</v>
      </c>
      <c r="K187" t="s">
        <v>134</v>
      </c>
      <c r="L187" t="s">
        <v>277</v>
      </c>
      <c r="M187" t="s">
        <v>149</v>
      </c>
      <c r="N187" t="s">
        <v>143</v>
      </c>
      <c r="O187">
        <f>ROUND(($C187*Loss_Constants!$B$2+$D187*Loss_Constants!$B$3+$E187*Loss_Constants!$B$4+$F187*Loss_Constants!$B$5)/100,1)</f>
        <v>12.5</v>
      </c>
      <c r="P187">
        <f>ROUND(($G187*Loss_Constants!$E$2+$H187*Loss_Constants!$E$3+$I187*Loss_Constants!$E$4+$J187*Loss_Constants!$E$5)/100,1)</f>
        <v>3.7</v>
      </c>
      <c r="Q187">
        <f t="shared" si="2"/>
        <v>16.2</v>
      </c>
      <c r="R187" t="s">
        <v>31</v>
      </c>
      <c r="S187" t="s">
        <v>32</v>
      </c>
    </row>
    <row r="188" spans="1:19">
      <c r="A188">
        <v>187</v>
      </c>
      <c r="B188" t="s">
        <v>341</v>
      </c>
      <c r="C188">
        <v>15</v>
      </c>
      <c r="D188">
        <v>35</v>
      </c>
      <c r="E188">
        <v>35</v>
      </c>
      <c r="F188">
        <v>15</v>
      </c>
      <c r="G188">
        <v>50</v>
      </c>
      <c r="H188">
        <v>30</v>
      </c>
      <c r="I188">
        <v>15</v>
      </c>
      <c r="J188">
        <v>5</v>
      </c>
      <c r="K188" t="s">
        <v>134</v>
      </c>
      <c r="L188" t="s">
        <v>277</v>
      </c>
      <c r="M188" t="s">
        <v>136</v>
      </c>
      <c r="N188" t="s">
        <v>143</v>
      </c>
      <c r="O188">
        <f>ROUND(($C188*Loss_Constants!$B$2+$D188*Loss_Constants!$B$3+$E188*Loss_Constants!$B$4+$F188*Loss_Constants!$B$5)/100,1)</f>
        <v>7</v>
      </c>
      <c r="P188">
        <f>ROUND(($G188*Loss_Constants!$E$2+$H188*Loss_Constants!$E$3+$I188*Loss_Constants!$E$4+$J188*Loss_Constants!$E$5)/100,1)</f>
        <v>2.8</v>
      </c>
      <c r="Q188">
        <f t="shared" si="2"/>
        <v>9.8000000000000007</v>
      </c>
      <c r="R188" t="s">
        <v>81</v>
      </c>
      <c r="S188" t="s">
        <v>82</v>
      </c>
    </row>
    <row r="189" spans="1:19">
      <c r="A189">
        <v>188</v>
      </c>
      <c r="B189" t="s">
        <v>342</v>
      </c>
      <c r="C189">
        <v>20</v>
      </c>
      <c r="D189">
        <v>20</v>
      </c>
      <c r="E189">
        <v>10</v>
      </c>
      <c r="F189">
        <v>50</v>
      </c>
      <c r="G189">
        <v>40</v>
      </c>
      <c r="H189">
        <v>25</v>
      </c>
      <c r="I189">
        <v>25</v>
      </c>
      <c r="J189">
        <v>10</v>
      </c>
      <c r="K189" t="s">
        <v>134</v>
      </c>
      <c r="L189" t="s">
        <v>277</v>
      </c>
      <c r="M189" t="s">
        <v>149</v>
      </c>
      <c r="N189" t="s">
        <v>143</v>
      </c>
      <c r="O189">
        <f>ROUND(($C189*Loss_Constants!$B$2+$D189*Loss_Constants!$B$3+$E189*Loss_Constants!$B$4+$F189*Loss_Constants!$B$5)/100,1)</f>
        <v>12.5</v>
      </c>
      <c r="P189">
        <f>ROUND(($G189*Loss_Constants!$E$2+$H189*Loss_Constants!$E$3+$I189*Loss_Constants!$E$4+$J189*Loss_Constants!$E$5)/100,1)</f>
        <v>3.7</v>
      </c>
      <c r="Q189">
        <f t="shared" si="2"/>
        <v>16.2</v>
      </c>
      <c r="R189" t="s">
        <v>31</v>
      </c>
      <c r="S189" t="s">
        <v>32</v>
      </c>
    </row>
    <row r="190" spans="1:19">
      <c r="A190">
        <v>189</v>
      </c>
      <c r="B190" t="s">
        <v>343</v>
      </c>
      <c r="C190">
        <v>20</v>
      </c>
      <c r="D190">
        <v>10</v>
      </c>
      <c r="E190">
        <v>5</v>
      </c>
      <c r="F190">
        <v>65</v>
      </c>
      <c r="G190">
        <v>25</v>
      </c>
      <c r="H190">
        <v>20</v>
      </c>
      <c r="I190">
        <v>35</v>
      </c>
      <c r="J190">
        <v>20</v>
      </c>
      <c r="K190" t="s">
        <v>172</v>
      </c>
      <c r="L190" t="s">
        <v>148</v>
      </c>
      <c r="M190" t="s">
        <v>149</v>
      </c>
      <c r="N190" t="s">
        <v>140</v>
      </c>
      <c r="O190">
        <f>ROUND(($C190*Loss_Constants!$B$2+$D190*Loss_Constants!$B$3+$E190*Loss_Constants!$B$4+$F190*Loss_Constants!$B$5)/100,1)</f>
        <v>14.7</v>
      </c>
      <c r="P190">
        <f>ROUND(($G190*Loss_Constants!$E$2+$H190*Loss_Constants!$E$3+$I190*Loss_Constants!$E$4+$J190*Loss_Constants!$E$5)/100,1)</f>
        <v>5</v>
      </c>
      <c r="Q190">
        <f t="shared" si="2"/>
        <v>19.7</v>
      </c>
      <c r="R190" t="s">
        <v>89</v>
      </c>
      <c r="S190" t="s">
        <v>90</v>
      </c>
    </row>
    <row r="191" spans="1:19">
      <c r="A191">
        <v>190</v>
      </c>
      <c r="B191" t="s">
        <v>344</v>
      </c>
      <c r="C191">
        <v>15</v>
      </c>
      <c r="D191">
        <v>35</v>
      </c>
      <c r="E191">
        <v>35</v>
      </c>
      <c r="F191">
        <v>15</v>
      </c>
      <c r="G191">
        <v>50</v>
      </c>
      <c r="H191">
        <v>30</v>
      </c>
      <c r="I191">
        <v>15</v>
      </c>
      <c r="J191">
        <v>5</v>
      </c>
      <c r="K191" t="s">
        <v>134</v>
      </c>
      <c r="L191" t="s">
        <v>277</v>
      </c>
      <c r="M191" t="s">
        <v>136</v>
      </c>
      <c r="N191" t="s">
        <v>143</v>
      </c>
      <c r="O191">
        <f>ROUND(($C191*Loss_Constants!$B$2+$D191*Loss_Constants!$B$3+$E191*Loss_Constants!$B$4+$F191*Loss_Constants!$B$5)/100,1)</f>
        <v>7</v>
      </c>
      <c r="P191">
        <f>ROUND(($G191*Loss_Constants!$E$2+$H191*Loss_Constants!$E$3+$I191*Loss_Constants!$E$4+$J191*Loss_Constants!$E$5)/100,1)</f>
        <v>2.8</v>
      </c>
      <c r="Q191">
        <f t="shared" si="2"/>
        <v>9.8000000000000007</v>
      </c>
      <c r="R191" t="s">
        <v>81</v>
      </c>
      <c r="S191" t="s">
        <v>82</v>
      </c>
    </row>
    <row r="192" spans="1:19">
      <c r="A192">
        <v>191</v>
      </c>
      <c r="B192" t="s">
        <v>345</v>
      </c>
      <c r="C192">
        <v>15</v>
      </c>
      <c r="D192">
        <v>35</v>
      </c>
      <c r="E192">
        <v>35</v>
      </c>
      <c r="F192">
        <v>15</v>
      </c>
      <c r="G192">
        <v>50</v>
      </c>
      <c r="H192">
        <v>30</v>
      </c>
      <c r="I192">
        <v>15</v>
      </c>
      <c r="J192">
        <v>5</v>
      </c>
      <c r="K192" t="s">
        <v>134</v>
      </c>
      <c r="L192" t="s">
        <v>277</v>
      </c>
      <c r="M192" t="s">
        <v>136</v>
      </c>
      <c r="N192" t="s">
        <v>143</v>
      </c>
      <c r="O192">
        <f>ROUND(($C192*Loss_Constants!$B$2+$D192*Loss_Constants!$B$3+$E192*Loss_Constants!$B$4+$F192*Loss_Constants!$B$5)/100,1)</f>
        <v>7</v>
      </c>
      <c r="P192">
        <f>ROUND(($G192*Loss_Constants!$E$2+$H192*Loss_Constants!$E$3+$I192*Loss_Constants!$E$4+$J192*Loss_Constants!$E$5)/100,1)</f>
        <v>2.8</v>
      </c>
      <c r="Q192">
        <f t="shared" si="2"/>
        <v>9.8000000000000007</v>
      </c>
      <c r="R192" t="s">
        <v>81</v>
      </c>
      <c r="S192" t="s">
        <v>82</v>
      </c>
    </row>
    <row r="193" spans="1:19">
      <c r="A193">
        <v>192</v>
      </c>
      <c r="B193" t="s">
        <v>346</v>
      </c>
      <c r="C193">
        <v>25</v>
      </c>
      <c r="D193">
        <v>10</v>
      </c>
      <c r="E193">
        <v>0</v>
      </c>
      <c r="F193">
        <v>65</v>
      </c>
      <c r="G193">
        <v>10</v>
      </c>
      <c r="H193">
        <v>20</v>
      </c>
      <c r="I193">
        <v>30</v>
      </c>
      <c r="J193">
        <v>40</v>
      </c>
      <c r="K193" t="s">
        <v>147</v>
      </c>
      <c r="L193" t="s">
        <v>148</v>
      </c>
      <c r="M193" t="s">
        <v>149</v>
      </c>
      <c r="N193" t="s">
        <v>150</v>
      </c>
      <c r="O193">
        <f>ROUND(($C193*Loss_Constants!$B$2+$D193*Loss_Constants!$B$3+$E193*Loss_Constants!$B$4+$F193*Loss_Constants!$B$5)/100,1)</f>
        <v>15.1</v>
      </c>
      <c r="P193">
        <f>ROUND(($G193*Loss_Constants!$E$2+$H193*Loss_Constants!$E$3+$I193*Loss_Constants!$E$4+$J193*Loss_Constants!$E$5)/100,1)</f>
        <v>6.5</v>
      </c>
      <c r="Q193">
        <f t="shared" si="2"/>
        <v>21.6</v>
      </c>
      <c r="R193" t="s">
        <v>49</v>
      </c>
      <c r="S193" t="s">
        <v>50</v>
      </c>
    </row>
    <row r="194" spans="1:19">
      <c r="A194">
        <v>193</v>
      </c>
      <c r="B194" t="s">
        <v>347</v>
      </c>
      <c r="C194">
        <v>15</v>
      </c>
      <c r="D194">
        <v>35</v>
      </c>
      <c r="E194">
        <v>20</v>
      </c>
      <c r="F194">
        <v>30</v>
      </c>
      <c r="G194">
        <v>45</v>
      </c>
      <c r="H194">
        <v>30</v>
      </c>
      <c r="I194">
        <v>20</v>
      </c>
      <c r="J194">
        <v>5</v>
      </c>
      <c r="K194" t="s">
        <v>172</v>
      </c>
      <c r="L194" t="s">
        <v>277</v>
      </c>
      <c r="M194" t="s">
        <v>149</v>
      </c>
      <c r="N194" t="s">
        <v>143</v>
      </c>
      <c r="O194">
        <f>ROUND(($C194*Loss_Constants!$B$2+$D194*Loss_Constants!$B$3+$E194*Loss_Constants!$B$4+$F194*Loss_Constants!$B$5)/100,1)</f>
        <v>9.1999999999999993</v>
      </c>
      <c r="P194">
        <f>ROUND(($G194*Loss_Constants!$E$2+$H194*Loss_Constants!$E$3+$I194*Loss_Constants!$E$4+$J194*Loss_Constants!$E$5)/100,1)</f>
        <v>3.1</v>
      </c>
      <c r="Q194">
        <f t="shared" ref="Q194:Q257" si="3">ROUND(O194+P194,1)</f>
        <v>12.3</v>
      </c>
      <c r="R194" t="s">
        <v>27</v>
      </c>
      <c r="S194" t="s">
        <v>28</v>
      </c>
    </row>
    <row r="195" spans="1:19">
      <c r="A195">
        <v>194</v>
      </c>
      <c r="B195" t="s">
        <v>348</v>
      </c>
      <c r="C195">
        <v>20</v>
      </c>
      <c r="D195">
        <v>30</v>
      </c>
      <c r="E195">
        <v>5</v>
      </c>
      <c r="F195">
        <v>45</v>
      </c>
      <c r="G195">
        <v>15</v>
      </c>
      <c r="H195">
        <v>30</v>
      </c>
      <c r="I195">
        <v>35</v>
      </c>
      <c r="J195">
        <v>20</v>
      </c>
      <c r="K195" t="s">
        <v>134</v>
      </c>
      <c r="L195" t="s">
        <v>135</v>
      </c>
      <c r="M195" t="s">
        <v>149</v>
      </c>
      <c r="N195" t="s">
        <v>137</v>
      </c>
      <c r="O195">
        <f>ROUND(($C195*Loss_Constants!$B$2+$D195*Loss_Constants!$B$3+$E195*Loss_Constants!$B$4+$F195*Loss_Constants!$B$5)/100,1)</f>
        <v>11.9</v>
      </c>
      <c r="P195">
        <f>ROUND(($G195*Loss_Constants!$E$2+$H195*Loss_Constants!$E$3+$I195*Loss_Constants!$E$4+$J195*Loss_Constants!$E$5)/100,1)</f>
        <v>5.2</v>
      </c>
      <c r="Q195">
        <f t="shared" si="3"/>
        <v>17.100000000000001</v>
      </c>
      <c r="R195" t="s">
        <v>51</v>
      </c>
      <c r="S195" t="s">
        <v>52</v>
      </c>
    </row>
    <row r="196" spans="1:19">
      <c r="A196">
        <v>195</v>
      </c>
      <c r="B196" t="s">
        <v>349</v>
      </c>
      <c r="C196">
        <v>15</v>
      </c>
      <c r="D196">
        <v>35</v>
      </c>
      <c r="E196">
        <v>20</v>
      </c>
      <c r="F196">
        <v>30</v>
      </c>
      <c r="G196">
        <v>45</v>
      </c>
      <c r="H196">
        <v>30</v>
      </c>
      <c r="I196">
        <v>20</v>
      </c>
      <c r="J196">
        <v>5</v>
      </c>
      <c r="K196" t="s">
        <v>172</v>
      </c>
      <c r="L196" t="s">
        <v>277</v>
      </c>
      <c r="M196" t="s">
        <v>149</v>
      </c>
      <c r="N196" t="s">
        <v>143</v>
      </c>
      <c r="O196">
        <f>ROUND(($C196*Loss_Constants!$B$2+$D196*Loss_Constants!$B$3+$E196*Loss_Constants!$B$4+$F196*Loss_Constants!$B$5)/100,1)</f>
        <v>9.1999999999999993</v>
      </c>
      <c r="P196">
        <f>ROUND(($G196*Loss_Constants!$E$2+$H196*Loss_Constants!$E$3+$I196*Loss_Constants!$E$4+$J196*Loss_Constants!$E$5)/100,1)</f>
        <v>3.1</v>
      </c>
      <c r="Q196">
        <f t="shared" si="3"/>
        <v>12.3</v>
      </c>
      <c r="R196" t="s">
        <v>27</v>
      </c>
      <c r="S196" t="s">
        <v>28</v>
      </c>
    </row>
    <row r="197" spans="1:19">
      <c r="A197">
        <v>196</v>
      </c>
      <c r="B197" t="s">
        <v>350</v>
      </c>
      <c r="C197">
        <v>20</v>
      </c>
      <c r="D197">
        <v>40</v>
      </c>
      <c r="E197">
        <v>30</v>
      </c>
      <c r="F197">
        <v>10</v>
      </c>
      <c r="G197">
        <v>60</v>
      </c>
      <c r="H197">
        <v>25</v>
      </c>
      <c r="I197">
        <v>10</v>
      </c>
      <c r="J197">
        <v>5</v>
      </c>
      <c r="K197" t="s">
        <v>134</v>
      </c>
      <c r="L197" t="s">
        <v>135</v>
      </c>
      <c r="M197" t="s">
        <v>142</v>
      </c>
      <c r="N197" t="s">
        <v>143</v>
      </c>
      <c r="O197">
        <f>ROUND(($C197*Loss_Constants!$B$2+$D197*Loss_Constants!$B$3+$E197*Loss_Constants!$B$4+$F197*Loss_Constants!$B$5)/100,1)</f>
        <v>6.7</v>
      </c>
      <c r="P197">
        <f>ROUND(($G197*Loss_Constants!$E$2+$H197*Loss_Constants!$E$3+$I197*Loss_Constants!$E$4+$J197*Loss_Constants!$E$5)/100,1)</f>
        <v>2.5</v>
      </c>
      <c r="Q197">
        <f t="shared" si="3"/>
        <v>9.1999999999999993</v>
      </c>
      <c r="R197" t="s">
        <v>59</v>
      </c>
      <c r="S197" t="s">
        <v>60</v>
      </c>
    </row>
    <row r="198" spans="1:19">
      <c r="A198">
        <v>197</v>
      </c>
      <c r="B198" t="s">
        <v>351</v>
      </c>
      <c r="C198">
        <v>20</v>
      </c>
      <c r="D198">
        <v>30</v>
      </c>
      <c r="E198">
        <v>5</v>
      </c>
      <c r="F198">
        <v>45</v>
      </c>
      <c r="G198">
        <v>15</v>
      </c>
      <c r="H198">
        <v>30</v>
      </c>
      <c r="I198">
        <v>35</v>
      </c>
      <c r="J198">
        <v>20</v>
      </c>
      <c r="K198" t="s">
        <v>134</v>
      </c>
      <c r="L198" t="s">
        <v>135</v>
      </c>
      <c r="M198" t="s">
        <v>149</v>
      </c>
      <c r="N198" t="s">
        <v>137</v>
      </c>
      <c r="O198">
        <f>ROUND(($C198*Loss_Constants!$B$2+$D198*Loss_Constants!$B$3+$E198*Loss_Constants!$B$4+$F198*Loss_Constants!$B$5)/100,1)</f>
        <v>11.9</v>
      </c>
      <c r="P198">
        <f>ROUND(($G198*Loss_Constants!$E$2+$H198*Loss_Constants!$E$3+$I198*Loss_Constants!$E$4+$J198*Loss_Constants!$E$5)/100,1)</f>
        <v>5.2</v>
      </c>
      <c r="Q198">
        <f t="shared" si="3"/>
        <v>17.100000000000001</v>
      </c>
      <c r="R198" t="s">
        <v>51</v>
      </c>
      <c r="S198" t="s">
        <v>52</v>
      </c>
    </row>
    <row r="199" spans="1:19">
      <c r="A199">
        <v>198</v>
      </c>
      <c r="B199" t="s">
        <v>352</v>
      </c>
      <c r="C199">
        <v>25</v>
      </c>
      <c r="D199">
        <v>10</v>
      </c>
      <c r="E199">
        <v>0</v>
      </c>
      <c r="F199">
        <v>65</v>
      </c>
      <c r="G199">
        <v>10</v>
      </c>
      <c r="H199">
        <v>20</v>
      </c>
      <c r="I199">
        <v>30</v>
      </c>
      <c r="J199">
        <v>40</v>
      </c>
      <c r="K199" t="s">
        <v>147</v>
      </c>
      <c r="L199" t="s">
        <v>148</v>
      </c>
      <c r="M199" t="s">
        <v>149</v>
      </c>
      <c r="N199" t="s">
        <v>150</v>
      </c>
      <c r="O199">
        <f>ROUND(($C199*Loss_Constants!$B$2+$D199*Loss_Constants!$B$3+$E199*Loss_Constants!$B$4+$F199*Loss_Constants!$B$5)/100,1)</f>
        <v>15.1</v>
      </c>
      <c r="P199">
        <f>ROUND(($G199*Loss_Constants!$E$2+$H199*Loss_Constants!$E$3+$I199*Loss_Constants!$E$4+$J199*Loss_Constants!$E$5)/100,1)</f>
        <v>6.5</v>
      </c>
      <c r="Q199">
        <f t="shared" si="3"/>
        <v>21.6</v>
      </c>
      <c r="R199" t="s">
        <v>49</v>
      </c>
      <c r="S199" t="s">
        <v>50</v>
      </c>
    </row>
    <row r="200" spans="1:19">
      <c r="A200">
        <v>199</v>
      </c>
      <c r="B200" t="s">
        <v>353</v>
      </c>
      <c r="C200">
        <v>15</v>
      </c>
      <c r="D200">
        <v>35</v>
      </c>
      <c r="E200">
        <v>20</v>
      </c>
      <c r="F200">
        <v>30</v>
      </c>
      <c r="G200">
        <v>45</v>
      </c>
      <c r="H200">
        <v>30</v>
      </c>
      <c r="I200">
        <v>20</v>
      </c>
      <c r="J200">
        <v>5</v>
      </c>
      <c r="K200" t="s">
        <v>172</v>
      </c>
      <c r="L200" t="s">
        <v>277</v>
      </c>
      <c r="M200" t="s">
        <v>149</v>
      </c>
      <c r="N200" t="s">
        <v>143</v>
      </c>
      <c r="O200">
        <f>ROUND(($C200*Loss_Constants!$B$2+$D200*Loss_Constants!$B$3+$E200*Loss_Constants!$B$4+$F200*Loss_Constants!$B$5)/100,1)</f>
        <v>9.1999999999999993</v>
      </c>
      <c r="P200">
        <f>ROUND(($G200*Loss_Constants!$E$2+$H200*Loss_Constants!$E$3+$I200*Loss_Constants!$E$4+$J200*Loss_Constants!$E$5)/100,1)</f>
        <v>3.1</v>
      </c>
      <c r="Q200">
        <f t="shared" si="3"/>
        <v>12.3</v>
      </c>
      <c r="R200" t="s">
        <v>27</v>
      </c>
      <c r="S200" t="s">
        <v>28</v>
      </c>
    </row>
    <row r="201" spans="1:19">
      <c r="A201">
        <v>200</v>
      </c>
      <c r="B201" t="s">
        <v>354</v>
      </c>
      <c r="C201">
        <v>20</v>
      </c>
      <c r="D201">
        <v>30</v>
      </c>
      <c r="E201">
        <v>5</v>
      </c>
      <c r="F201">
        <v>45</v>
      </c>
      <c r="G201">
        <v>15</v>
      </c>
      <c r="H201">
        <v>30</v>
      </c>
      <c r="I201">
        <v>35</v>
      </c>
      <c r="J201">
        <v>20</v>
      </c>
      <c r="K201" t="s">
        <v>134</v>
      </c>
      <c r="L201" t="s">
        <v>135</v>
      </c>
      <c r="M201" t="s">
        <v>149</v>
      </c>
      <c r="N201" t="s">
        <v>137</v>
      </c>
      <c r="O201">
        <f>ROUND(($C201*Loss_Constants!$B$2+$D201*Loss_Constants!$B$3+$E201*Loss_Constants!$B$4+$F201*Loss_Constants!$B$5)/100,1)</f>
        <v>11.9</v>
      </c>
      <c r="P201">
        <f>ROUND(($G201*Loss_Constants!$E$2+$H201*Loss_Constants!$E$3+$I201*Loss_Constants!$E$4+$J201*Loss_Constants!$E$5)/100,1)</f>
        <v>5.2</v>
      </c>
      <c r="Q201">
        <f t="shared" si="3"/>
        <v>17.100000000000001</v>
      </c>
      <c r="R201" t="s">
        <v>51</v>
      </c>
      <c r="S201" t="s">
        <v>52</v>
      </c>
    </row>
    <row r="202" spans="1:19">
      <c r="A202">
        <v>201</v>
      </c>
      <c r="B202" t="s">
        <v>355</v>
      </c>
      <c r="C202">
        <v>15</v>
      </c>
      <c r="D202">
        <v>35</v>
      </c>
      <c r="E202">
        <v>35</v>
      </c>
      <c r="F202">
        <v>15</v>
      </c>
      <c r="G202">
        <v>50</v>
      </c>
      <c r="H202">
        <v>30</v>
      </c>
      <c r="I202">
        <v>15</v>
      </c>
      <c r="J202">
        <v>5</v>
      </c>
      <c r="K202" t="s">
        <v>134</v>
      </c>
      <c r="L202" t="s">
        <v>277</v>
      </c>
      <c r="M202" t="s">
        <v>136</v>
      </c>
      <c r="N202" t="s">
        <v>143</v>
      </c>
      <c r="O202">
        <f>ROUND(($C202*Loss_Constants!$B$2+$D202*Loss_Constants!$B$3+$E202*Loss_Constants!$B$4+$F202*Loss_Constants!$B$5)/100,1)</f>
        <v>7</v>
      </c>
      <c r="P202">
        <f>ROUND(($G202*Loss_Constants!$E$2+$H202*Loss_Constants!$E$3+$I202*Loss_Constants!$E$4+$J202*Loss_Constants!$E$5)/100,1)</f>
        <v>2.8</v>
      </c>
      <c r="Q202">
        <f t="shared" si="3"/>
        <v>9.8000000000000007</v>
      </c>
      <c r="R202" t="s">
        <v>81</v>
      </c>
      <c r="S202" t="s">
        <v>82</v>
      </c>
    </row>
    <row r="203" spans="1:19">
      <c r="A203">
        <v>202</v>
      </c>
      <c r="B203" t="s">
        <v>356</v>
      </c>
      <c r="C203">
        <v>25</v>
      </c>
      <c r="D203">
        <v>10</v>
      </c>
      <c r="E203">
        <v>0</v>
      </c>
      <c r="F203">
        <v>65</v>
      </c>
      <c r="G203">
        <v>10</v>
      </c>
      <c r="H203">
        <v>20</v>
      </c>
      <c r="I203">
        <v>30</v>
      </c>
      <c r="J203">
        <v>40</v>
      </c>
      <c r="K203" t="s">
        <v>147</v>
      </c>
      <c r="L203" t="s">
        <v>148</v>
      </c>
      <c r="M203" t="s">
        <v>149</v>
      </c>
      <c r="N203" t="s">
        <v>150</v>
      </c>
      <c r="O203">
        <f>ROUND(($C203*Loss_Constants!$B$2+$D203*Loss_Constants!$B$3+$E203*Loss_Constants!$B$4+$F203*Loss_Constants!$B$5)/100,1)</f>
        <v>15.1</v>
      </c>
      <c r="P203">
        <f>ROUND(($G203*Loss_Constants!$E$2+$H203*Loss_Constants!$E$3+$I203*Loss_Constants!$E$4+$J203*Loss_Constants!$E$5)/100,1)</f>
        <v>6.5</v>
      </c>
      <c r="Q203">
        <f t="shared" si="3"/>
        <v>21.6</v>
      </c>
      <c r="R203" t="s">
        <v>49</v>
      </c>
      <c r="S203" t="s">
        <v>50</v>
      </c>
    </row>
    <row r="204" spans="1:19">
      <c r="A204">
        <v>203</v>
      </c>
      <c r="B204" t="s">
        <v>357</v>
      </c>
      <c r="C204">
        <v>25</v>
      </c>
      <c r="D204">
        <v>55</v>
      </c>
      <c r="E204">
        <v>10</v>
      </c>
      <c r="F204">
        <v>10</v>
      </c>
      <c r="G204">
        <v>70</v>
      </c>
      <c r="H204">
        <v>25</v>
      </c>
      <c r="I204">
        <v>5</v>
      </c>
      <c r="J204">
        <v>0</v>
      </c>
      <c r="K204" t="s">
        <v>134</v>
      </c>
      <c r="L204" t="s">
        <v>135</v>
      </c>
      <c r="M204" t="s">
        <v>142</v>
      </c>
      <c r="N204" t="s">
        <v>143</v>
      </c>
      <c r="O204">
        <f>ROUND(($C204*Loss_Constants!$B$2+$D204*Loss_Constants!$B$3+$E204*Loss_Constants!$B$4+$F204*Loss_Constants!$B$5)/100,1)</f>
        <v>7.3</v>
      </c>
      <c r="P204">
        <f>ROUND(($G204*Loss_Constants!$E$2+$H204*Loss_Constants!$E$3+$I204*Loss_Constants!$E$4+$J204*Loss_Constants!$E$5)/100,1)</f>
        <v>1.8</v>
      </c>
      <c r="Q204">
        <f t="shared" si="3"/>
        <v>9.1</v>
      </c>
      <c r="R204" t="s">
        <v>21</v>
      </c>
      <c r="S204" t="s">
        <v>22</v>
      </c>
    </row>
    <row r="205" spans="1:19">
      <c r="A205">
        <v>204</v>
      </c>
      <c r="B205" t="s">
        <v>358</v>
      </c>
      <c r="C205">
        <v>15</v>
      </c>
      <c r="D205">
        <v>35</v>
      </c>
      <c r="E205">
        <v>35</v>
      </c>
      <c r="F205">
        <v>15</v>
      </c>
      <c r="G205">
        <v>50</v>
      </c>
      <c r="H205">
        <v>30</v>
      </c>
      <c r="I205">
        <v>15</v>
      </c>
      <c r="J205">
        <v>5</v>
      </c>
      <c r="K205" t="s">
        <v>134</v>
      </c>
      <c r="L205" t="s">
        <v>277</v>
      </c>
      <c r="M205" t="s">
        <v>136</v>
      </c>
      <c r="N205" t="s">
        <v>143</v>
      </c>
      <c r="O205">
        <f>ROUND(($C205*Loss_Constants!$B$2+$D205*Loss_Constants!$B$3+$E205*Loss_Constants!$B$4+$F205*Loss_Constants!$B$5)/100,1)</f>
        <v>7</v>
      </c>
      <c r="P205">
        <f>ROUND(($G205*Loss_Constants!$E$2+$H205*Loss_Constants!$E$3+$I205*Loss_Constants!$E$4+$J205*Loss_Constants!$E$5)/100,1)</f>
        <v>2.8</v>
      </c>
      <c r="Q205">
        <f t="shared" si="3"/>
        <v>9.8000000000000007</v>
      </c>
      <c r="R205" t="s">
        <v>81</v>
      </c>
      <c r="S205" t="s">
        <v>82</v>
      </c>
    </row>
    <row r="206" spans="1:19">
      <c r="A206">
        <v>205</v>
      </c>
      <c r="B206" t="s">
        <v>359</v>
      </c>
      <c r="C206">
        <v>15</v>
      </c>
      <c r="D206">
        <v>55</v>
      </c>
      <c r="E206">
        <v>20</v>
      </c>
      <c r="F206">
        <v>10</v>
      </c>
      <c r="G206">
        <v>45</v>
      </c>
      <c r="H206">
        <v>35</v>
      </c>
      <c r="I206">
        <v>15</v>
      </c>
      <c r="J206">
        <v>5</v>
      </c>
      <c r="K206" t="s">
        <v>134</v>
      </c>
      <c r="L206" t="s">
        <v>135</v>
      </c>
      <c r="M206" t="s">
        <v>136</v>
      </c>
      <c r="N206" t="s">
        <v>137</v>
      </c>
      <c r="O206">
        <f>ROUND(($C206*Loss_Constants!$B$2+$D206*Loss_Constants!$B$3+$E206*Loss_Constants!$B$4+$F206*Loss_Constants!$B$5)/100,1)</f>
        <v>6.4</v>
      </c>
      <c r="P206">
        <f>ROUND(($G206*Loss_Constants!$E$2+$H206*Loss_Constants!$E$3+$I206*Loss_Constants!$E$4+$J206*Loss_Constants!$E$5)/100,1)</f>
        <v>2.9</v>
      </c>
      <c r="Q206">
        <f t="shared" si="3"/>
        <v>9.3000000000000007</v>
      </c>
      <c r="R206" t="s">
        <v>1</v>
      </c>
      <c r="S206" t="s">
        <v>2</v>
      </c>
    </row>
    <row r="207" spans="1:19">
      <c r="A207">
        <v>206</v>
      </c>
      <c r="B207" t="s">
        <v>360</v>
      </c>
      <c r="C207">
        <v>20</v>
      </c>
      <c r="D207">
        <v>40</v>
      </c>
      <c r="E207">
        <v>30</v>
      </c>
      <c r="F207">
        <v>10</v>
      </c>
      <c r="G207">
        <v>60</v>
      </c>
      <c r="H207">
        <v>25</v>
      </c>
      <c r="I207">
        <v>10</v>
      </c>
      <c r="J207">
        <v>5</v>
      </c>
      <c r="K207" t="s">
        <v>134</v>
      </c>
      <c r="L207" t="s">
        <v>135</v>
      </c>
      <c r="M207" t="s">
        <v>142</v>
      </c>
      <c r="N207" t="s">
        <v>143</v>
      </c>
      <c r="O207">
        <f>ROUND(($C207*Loss_Constants!$B$2+$D207*Loss_Constants!$B$3+$E207*Loss_Constants!$B$4+$F207*Loss_Constants!$B$5)/100,1)</f>
        <v>6.7</v>
      </c>
      <c r="P207">
        <f>ROUND(($G207*Loss_Constants!$E$2+$H207*Loss_Constants!$E$3+$I207*Loss_Constants!$E$4+$J207*Loss_Constants!$E$5)/100,1)</f>
        <v>2.5</v>
      </c>
      <c r="Q207">
        <f t="shared" si="3"/>
        <v>9.1999999999999993</v>
      </c>
      <c r="R207" t="s">
        <v>59</v>
      </c>
      <c r="S207" t="s">
        <v>60</v>
      </c>
    </row>
    <row r="208" spans="1:19">
      <c r="A208">
        <v>207</v>
      </c>
      <c r="B208" t="s">
        <v>361</v>
      </c>
      <c r="C208">
        <v>20</v>
      </c>
      <c r="D208">
        <v>10</v>
      </c>
      <c r="E208">
        <v>5</v>
      </c>
      <c r="F208">
        <v>65</v>
      </c>
      <c r="G208">
        <v>25</v>
      </c>
      <c r="H208">
        <v>25</v>
      </c>
      <c r="I208">
        <v>30</v>
      </c>
      <c r="J208">
        <v>20</v>
      </c>
      <c r="K208" t="s">
        <v>172</v>
      </c>
      <c r="L208" t="s">
        <v>148</v>
      </c>
      <c r="M208" t="s">
        <v>149</v>
      </c>
      <c r="N208" t="s">
        <v>137</v>
      </c>
      <c r="O208">
        <f>ROUND(($C208*Loss_Constants!$B$2+$D208*Loss_Constants!$B$3+$E208*Loss_Constants!$B$4+$F208*Loss_Constants!$B$5)/100,1)</f>
        <v>14.7</v>
      </c>
      <c r="P208">
        <f>ROUND(($G208*Loss_Constants!$E$2+$H208*Loss_Constants!$E$3+$I208*Loss_Constants!$E$4+$J208*Loss_Constants!$E$5)/100,1)</f>
        <v>4.8</v>
      </c>
      <c r="Q208">
        <f t="shared" si="3"/>
        <v>19.5</v>
      </c>
      <c r="R208" t="s">
        <v>91</v>
      </c>
      <c r="S208" t="s">
        <v>92</v>
      </c>
    </row>
    <row r="209" spans="1:19">
      <c r="A209">
        <v>208</v>
      </c>
      <c r="B209" t="s">
        <v>362</v>
      </c>
      <c r="C209">
        <v>20</v>
      </c>
      <c r="D209">
        <v>60</v>
      </c>
      <c r="E209">
        <v>10</v>
      </c>
      <c r="F209">
        <v>10</v>
      </c>
      <c r="G209">
        <v>35</v>
      </c>
      <c r="H209">
        <v>45</v>
      </c>
      <c r="I209">
        <v>15</v>
      </c>
      <c r="J209">
        <v>5</v>
      </c>
      <c r="K209" t="s">
        <v>147</v>
      </c>
      <c r="L209" t="s">
        <v>363</v>
      </c>
      <c r="M209" t="s">
        <v>142</v>
      </c>
      <c r="N209" t="s">
        <v>137</v>
      </c>
      <c r="O209">
        <f>ROUND(($C209*Loss_Constants!$B$2+$D209*Loss_Constants!$B$3+$E209*Loss_Constants!$B$4+$F209*Loss_Constants!$B$5)/100,1)</f>
        <v>6.9</v>
      </c>
      <c r="P209">
        <f>ROUND(($G209*Loss_Constants!$E$2+$H209*Loss_Constants!$E$3+$I209*Loss_Constants!$E$4+$J209*Loss_Constants!$E$5)/100,1)</f>
        <v>3.1</v>
      </c>
      <c r="Q209">
        <f t="shared" si="3"/>
        <v>10</v>
      </c>
      <c r="R209" t="s">
        <v>47</v>
      </c>
      <c r="S209" t="s">
        <v>48</v>
      </c>
    </row>
    <row r="210" spans="1:19">
      <c r="A210">
        <v>209</v>
      </c>
      <c r="B210" t="s">
        <v>364</v>
      </c>
      <c r="C210">
        <v>20</v>
      </c>
      <c r="D210">
        <v>40</v>
      </c>
      <c r="E210">
        <v>30</v>
      </c>
      <c r="F210">
        <v>10</v>
      </c>
      <c r="G210">
        <v>60</v>
      </c>
      <c r="H210">
        <v>25</v>
      </c>
      <c r="I210">
        <v>10</v>
      </c>
      <c r="J210">
        <v>5</v>
      </c>
      <c r="K210" t="s">
        <v>134</v>
      </c>
      <c r="L210" t="s">
        <v>135</v>
      </c>
      <c r="M210" t="s">
        <v>142</v>
      </c>
      <c r="N210" t="s">
        <v>143</v>
      </c>
      <c r="O210">
        <f>ROUND(($C210*Loss_Constants!$B$2+$D210*Loss_Constants!$B$3+$E210*Loss_Constants!$B$4+$F210*Loss_Constants!$B$5)/100,1)</f>
        <v>6.7</v>
      </c>
      <c r="P210">
        <f>ROUND(($G210*Loss_Constants!$E$2+$H210*Loss_Constants!$E$3+$I210*Loss_Constants!$E$4+$J210*Loss_Constants!$E$5)/100,1)</f>
        <v>2.5</v>
      </c>
      <c r="Q210">
        <f t="shared" si="3"/>
        <v>9.1999999999999993</v>
      </c>
      <c r="R210" t="s">
        <v>59</v>
      </c>
      <c r="S210" t="s">
        <v>60</v>
      </c>
    </row>
    <row r="211" spans="1:19">
      <c r="A211">
        <v>210</v>
      </c>
      <c r="B211" t="s">
        <v>365</v>
      </c>
      <c r="C211">
        <v>15</v>
      </c>
      <c r="D211">
        <v>35</v>
      </c>
      <c r="E211">
        <v>20</v>
      </c>
      <c r="F211">
        <v>30</v>
      </c>
      <c r="G211">
        <v>45</v>
      </c>
      <c r="H211">
        <v>30</v>
      </c>
      <c r="I211">
        <v>20</v>
      </c>
      <c r="J211">
        <v>5</v>
      </c>
      <c r="K211" t="s">
        <v>172</v>
      </c>
      <c r="L211" t="s">
        <v>277</v>
      </c>
      <c r="M211" t="s">
        <v>149</v>
      </c>
      <c r="N211" t="s">
        <v>143</v>
      </c>
      <c r="O211">
        <f>ROUND(($C211*Loss_Constants!$B$2+$D211*Loss_Constants!$B$3+$E211*Loss_Constants!$B$4+$F211*Loss_Constants!$B$5)/100,1)</f>
        <v>9.1999999999999993</v>
      </c>
      <c r="P211">
        <f>ROUND(($G211*Loss_Constants!$E$2+$H211*Loss_Constants!$E$3+$I211*Loss_Constants!$E$4+$J211*Loss_Constants!$E$5)/100,1)</f>
        <v>3.1</v>
      </c>
      <c r="Q211">
        <f t="shared" si="3"/>
        <v>12.3</v>
      </c>
      <c r="R211" t="s">
        <v>27</v>
      </c>
      <c r="S211" t="s">
        <v>28</v>
      </c>
    </row>
    <row r="212" spans="1:19">
      <c r="A212">
        <v>211</v>
      </c>
      <c r="B212" t="s">
        <v>366</v>
      </c>
      <c r="C212">
        <v>20</v>
      </c>
      <c r="D212">
        <v>25</v>
      </c>
      <c r="E212">
        <v>0</v>
      </c>
      <c r="F212">
        <v>55</v>
      </c>
      <c r="G212">
        <v>10</v>
      </c>
      <c r="H212">
        <v>25</v>
      </c>
      <c r="I212">
        <v>35</v>
      </c>
      <c r="J212">
        <v>30</v>
      </c>
      <c r="K212" t="s">
        <v>134</v>
      </c>
      <c r="L212" t="s">
        <v>148</v>
      </c>
      <c r="M212" t="s">
        <v>136</v>
      </c>
      <c r="N212" t="s">
        <v>137</v>
      </c>
      <c r="O212">
        <f>ROUND(($C212*Loss_Constants!$B$2+$D212*Loss_Constants!$B$3+$E212*Loss_Constants!$B$4+$F212*Loss_Constants!$B$5)/100,1)</f>
        <v>13.3</v>
      </c>
      <c r="P212">
        <f>ROUND(($G212*Loss_Constants!$E$2+$H212*Loss_Constants!$E$3+$I212*Loss_Constants!$E$4+$J212*Loss_Constants!$E$5)/100,1)</f>
        <v>6</v>
      </c>
      <c r="Q212">
        <f t="shared" si="3"/>
        <v>19.3</v>
      </c>
      <c r="R212" t="s">
        <v>87</v>
      </c>
      <c r="S212" t="s">
        <v>88</v>
      </c>
    </row>
    <row r="213" spans="1:19">
      <c r="A213">
        <v>212</v>
      </c>
      <c r="B213" t="s">
        <v>367</v>
      </c>
      <c r="C213">
        <v>20</v>
      </c>
      <c r="D213">
        <v>40</v>
      </c>
      <c r="E213">
        <v>30</v>
      </c>
      <c r="F213">
        <v>10</v>
      </c>
      <c r="G213">
        <v>60</v>
      </c>
      <c r="H213">
        <v>25</v>
      </c>
      <c r="I213">
        <v>10</v>
      </c>
      <c r="J213">
        <v>5</v>
      </c>
      <c r="K213" t="s">
        <v>134</v>
      </c>
      <c r="L213" t="s">
        <v>135</v>
      </c>
      <c r="M213" t="s">
        <v>142</v>
      </c>
      <c r="N213" t="s">
        <v>143</v>
      </c>
      <c r="O213">
        <f>ROUND(($C213*Loss_Constants!$B$2+$D213*Loss_Constants!$B$3+$E213*Loss_Constants!$B$4+$F213*Loss_Constants!$B$5)/100,1)</f>
        <v>6.7</v>
      </c>
      <c r="P213">
        <f>ROUND(($G213*Loss_Constants!$E$2+$H213*Loss_Constants!$E$3+$I213*Loss_Constants!$E$4+$J213*Loss_Constants!$E$5)/100,1)</f>
        <v>2.5</v>
      </c>
      <c r="Q213">
        <f t="shared" si="3"/>
        <v>9.1999999999999993</v>
      </c>
      <c r="R213" t="s">
        <v>59</v>
      </c>
      <c r="S213" t="s">
        <v>60</v>
      </c>
    </row>
    <row r="214" spans="1:19">
      <c r="A214">
        <v>213</v>
      </c>
      <c r="B214" t="s">
        <v>368</v>
      </c>
      <c r="C214">
        <v>20</v>
      </c>
      <c r="D214">
        <v>60</v>
      </c>
      <c r="E214">
        <v>10</v>
      </c>
      <c r="F214">
        <v>10</v>
      </c>
      <c r="G214">
        <v>35</v>
      </c>
      <c r="H214">
        <v>45</v>
      </c>
      <c r="I214">
        <v>15</v>
      </c>
      <c r="J214">
        <v>5</v>
      </c>
      <c r="K214" t="s">
        <v>147</v>
      </c>
      <c r="L214" t="s">
        <v>363</v>
      </c>
      <c r="M214" t="s">
        <v>142</v>
      </c>
      <c r="N214" t="s">
        <v>137</v>
      </c>
      <c r="O214">
        <f>ROUND(($C214*Loss_Constants!$B$2+$D214*Loss_Constants!$B$3+$E214*Loss_Constants!$B$4+$F214*Loss_Constants!$B$5)/100,1)</f>
        <v>6.9</v>
      </c>
      <c r="P214">
        <f>ROUND(($G214*Loss_Constants!$E$2+$H214*Loss_Constants!$E$3+$I214*Loss_Constants!$E$4+$J214*Loss_Constants!$E$5)/100,1)</f>
        <v>3.1</v>
      </c>
      <c r="Q214">
        <f t="shared" si="3"/>
        <v>10</v>
      </c>
      <c r="R214" t="s">
        <v>47</v>
      </c>
      <c r="S214" t="s">
        <v>48</v>
      </c>
    </row>
    <row r="215" spans="1:19">
      <c r="A215">
        <v>214</v>
      </c>
      <c r="B215" t="s">
        <v>369</v>
      </c>
      <c r="C215">
        <v>15</v>
      </c>
      <c r="D215">
        <v>55</v>
      </c>
      <c r="E215">
        <v>20</v>
      </c>
      <c r="F215">
        <v>10</v>
      </c>
      <c r="G215">
        <v>40</v>
      </c>
      <c r="H215">
        <v>40</v>
      </c>
      <c r="I215">
        <v>15</v>
      </c>
      <c r="J215">
        <v>5</v>
      </c>
      <c r="K215" t="s">
        <v>134</v>
      </c>
      <c r="L215" t="s">
        <v>135</v>
      </c>
      <c r="M215" t="s">
        <v>136</v>
      </c>
      <c r="N215" t="s">
        <v>140</v>
      </c>
      <c r="O215">
        <f>ROUND(($C215*Loss_Constants!$B$2+$D215*Loss_Constants!$B$3+$E215*Loss_Constants!$B$4+$F215*Loss_Constants!$B$5)/100,1)</f>
        <v>6.4</v>
      </c>
      <c r="P215">
        <f>ROUND(($G215*Loss_Constants!$E$2+$H215*Loss_Constants!$E$3+$I215*Loss_Constants!$E$4+$J215*Loss_Constants!$E$5)/100,1)</f>
        <v>3</v>
      </c>
      <c r="Q215">
        <f t="shared" si="3"/>
        <v>9.4</v>
      </c>
      <c r="R215" t="s">
        <v>61</v>
      </c>
      <c r="S215" t="s">
        <v>62</v>
      </c>
    </row>
    <row r="216" spans="1:19">
      <c r="A216">
        <v>215</v>
      </c>
      <c r="B216" t="s">
        <v>370</v>
      </c>
      <c r="C216">
        <v>20</v>
      </c>
      <c r="D216">
        <v>40</v>
      </c>
      <c r="E216">
        <v>30</v>
      </c>
      <c r="F216">
        <v>10</v>
      </c>
      <c r="G216">
        <v>60</v>
      </c>
      <c r="H216">
        <v>25</v>
      </c>
      <c r="I216">
        <v>10</v>
      </c>
      <c r="J216">
        <v>5</v>
      </c>
      <c r="K216" t="s">
        <v>134</v>
      </c>
      <c r="L216" t="s">
        <v>135</v>
      </c>
      <c r="M216" t="s">
        <v>142</v>
      </c>
      <c r="N216" t="s">
        <v>143</v>
      </c>
      <c r="O216">
        <f>ROUND(($C216*Loss_Constants!$B$2+$D216*Loss_Constants!$B$3+$E216*Loss_Constants!$B$4+$F216*Loss_Constants!$B$5)/100,1)</f>
        <v>6.7</v>
      </c>
      <c r="P216">
        <f>ROUND(($G216*Loss_Constants!$E$2+$H216*Loss_Constants!$E$3+$I216*Loss_Constants!$E$4+$J216*Loss_Constants!$E$5)/100,1)</f>
        <v>2.5</v>
      </c>
      <c r="Q216">
        <f t="shared" si="3"/>
        <v>9.1999999999999993</v>
      </c>
      <c r="R216" t="s">
        <v>59</v>
      </c>
      <c r="S216" t="s">
        <v>60</v>
      </c>
    </row>
    <row r="217" spans="1:19">
      <c r="A217">
        <v>216</v>
      </c>
      <c r="B217" t="s">
        <v>371</v>
      </c>
      <c r="C217">
        <v>20</v>
      </c>
      <c r="D217">
        <v>25</v>
      </c>
      <c r="E217">
        <v>0</v>
      </c>
      <c r="F217">
        <v>55</v>
      </c>
      <c r="G217">
        <v>10</v>
      </c>
      <c r="H217">
        <v>25</v>
      </c>
      <c r="I217">
        <v>35</v>
      </c>
      <c r="J217">
        <v>30</v>
      </c>
      <c r="K217" t="s">
        <v>134</v>
      </c>
      <c r="L217" t="s">
        <v>148</v>
      </c>
      <c r="M217" t="s">
        <v>136</v>
      </c>
      <c r="N217" t="s">
        <v>137</v>
      </c>
      <c r="O217">
        <f>ROUND(($C217*Loss_Constants!$B$2+$D217*Loss_Constants!$B$3+$E217*Loss_Constants!$B$4+$F217*Loss_Constants!$B$5)/100,1)</f>
        <v>13.3</v>
      </c>
      <c r="P217">
        <f>ROUND(($G217*Loss_Constants!$E$2+$H217*Loss_Constants!$E$3+$I217*Loss_Constants!$E$4+$J217*Loss_Constants!$E$5)/100,1)</f>
        <v>6</v>
      </c>
      <c r="Q217">
        <f t="shared" si="3"/>
        <v>19.3</v>
      </c>
      <c r="R217" t="s">
        <v>87</v>
      </c>
      <c r="S217" t="s">
        <v>88</v>
      </c>
    </row>
    <row r="218" spans="1:19">
      <c r="A218">
        <v>217</v>
      </c>
      <c r="B218" t="s">
        <v>372</v>
      </c>
      <c r="C218">
        <v>20</v>
      </c>
      <c r="D218">
        <v>25</v>
      </c>
      <c r="E218">
        <v>0</v>
      </c>
      <c r="F218">
        <v>55</v>
      </c>
      <c r="G218">
        <v>10</v>
      </c>
      <c r="H218">
        <v>25</v>
      </c>
      <c r="I218">
        <v>35</v>
      </c>
      <c r="J218">
        <v>30</v>
      </c>
      <c r="K218" t="s">
        <v>134</v>
      </c>
      <c r="L218" t="s">
        <v>148</v>
      </c>
      <c r="M218" t="s">
        <v>136</v>
      </c>
      <c r="N218" t="s">
        <v>137</v>
      </c>
      <c r="O218">
        <f>ROUND(($C218*Loss_Constants!$B$2+$D218*Loss_Constants!$B$3+$E218*Loss_Constants!$B$4+$F218*Loss_Constants!$B$5)/100,1)</f>
        <v>13.3</v>
      </c>
      <c r="P218">
        <f>ROUND(($G218*Loss_Constants!$E$2+$H218*Loss_Constants!$E$3+$I218*Loss_Constants!$E$4+$J218*Loss_Constants!$E$5)/100,1)</f>
        <v>6</v>
      </c>
      <c r="Q218">
        <f t="shared" si="3"/>
        <v>19.3</v>
      </c>
      <c r="R218" t="s">
        <v>87</v>
      </c>
      <c r="S218" t="s">
        <v>88</v>
      </c>
    </row>
    <row r="219" spans="1:19">
      <c r="A219">
        <v>218</v>
      </c>
      <c r="B219" t="s">
        <v>373</v>
      </c>
      <c r="C219">
        <v>15</v>
      </c>
      <c r="D219">
        <v>35</v>
      </c>
      <c r="E219">
        <v>35</v>
      </c>
      <c r="F219">
        <v>15</v>
      </c>
      <c r="G219">
        <v>50</v>
      </c>
      <c r="H219">
        <v>30</v>
      </c>
      <c r="I219">
        <v>15</v>
      </c>
      <c r="J219">
        <v>5</v>
      </c>
      <c r="K219" t="s">
        <v>134</v>
      </c>
      <c r="L219" t="s">
        <v>277</v>
      </c>
      <c r="M219" t="s">
        <v>136</v>
      </c>
      <c r="N219" t="s">
        <v>143</v>
      </c>
      <c r="O219">
        <f>ROUND(($C219*Loss_Constants!$B$2+$D219*Loss_Constants!$B$3+$E219*Loss_Constants!$B$4+$F219*Loss_Constants!$B$5)/100,1)</f>
        <v>7</v>
      </c>
      <c r="P219">
        <f>ROUND(($G219*Loss_Constants!$E$2+$H219*Loss_Constants!$E$3+$I219*Loss_Constants!$E$4+$J219*Loss_Constants!$E$5)/100,1)</f>
        <v>2.8</v>
      </c>
      <c r="Q219">
        <f t="shared" si="3"/>
        <v>9.8000000000000007</v>
      </c>
      <c r="R219" t="s">
        <v>81</v>
      </c>
      <c r="S219" t="s">
        <v>82</v>
      </c>
    </row>
    <row r="220" spans="1:19">
      <c r="A220">
        <v>219</v>
      </c>
      <c r="B220" t="s">
        <v>374</v>
      </c>
      <c r="C220">
        <v>25</v>
      </c>
      <c r="D220">
        <v>45</v>
      </c>
      <c r="E220">
        <v>15</v>
      </c>
      <c r="F220">
        <v>15</v>
      </c>
      <c r="G220">
        <v>60</v>
      </c>
      <c r="H220">
        <v>25</v>
      </c>
      <c r="I220">
        <v>10</v>
      </c>
      <c r="J220">
        <v>5</v>
      </c>
      <c r="K220" t="s">
        <v>172</v>
      </c>
      <c r="L220" t="s">
        <v>287</v>
      </c>
      <c r="M220" t="s">
        <v>136</v>
      </c>
      <c r="N220" t="s">
        <v>137</v>
      </c>
      <c r="O220">
        <f>ROUND(($C220*Loss_Constants!$B$2+$D220*Loss_Constants!$B$3+$E220*Loss_Constants!$B$4+$F220*Loss_Constants!$B$5)/100,1)</f>
        <v>8</v>
      </c>
      <c r="P220">
        <f>ROUND(($G220*Loss_Constants!$E$2+$H220*Loss_Constants!$E$3+$I220*Loss_Constants!$E$4+$J220*Loss_Constants!$E$5)/100,1)</f>
        <v>2.5</v>
      </c>
      <c r="Q220">
        <f t="shared" si="3"/>
        <v>10.5</v>
      </c>
      <c r="R220" t="s">
        <v>63</v>
      </c>
      <c r="S220" t="s">
        <v>64</v>
      </c>
    </row>
    <row r="221" spans="1:19">
      <c r="A221">
        <v>220</v>
      </c>
      <c r="B221" t="s">
        <v>375</v>
      </c>
      <c r="C221">
        <v>15</v>
      </c>
      <c r="D221">
        <v>55</v>
      </c>
      <c r="E221">
        <v>20</v>
      </c>
      <c r="F221">
        <v>10</v>
      </c>
      <c r="G221">
        <v>40</v>
      </c>
      <c r="H221">
        <v>40</v>
      </c>
      <c r="I221">
        <v>15</v>
      </c>
      <c r="J221">
        <v>5</v>
      </c>
      <c r="K221" t="s">
        <v>134</v>
      </c>
      <c r="L221" t="s">
        <v>135</v>
      </c>
      <c r="M221" t="s">
        <v>136</v>
      </c>
      <c r="N221" t="s">
        <v>140</v>
      </c>
      <c r="O221">
        <f>ROUND(($C221*Loss_Constants!$B$2+$D221*Loss_Constants!$B$3+$E221*Loss_Constants!$B$4+$F221*Loss_Constants!$B$5)/100,1)</f>
        <v>6.4</v>
      </c>
      <c r="P221">
        <f>ROUND(($G221*Loss_Constants!$E$2+$H221*Loss_Constants!$E$3+$I221*Loss_Constants!$E$4+$J221*Loss_Constants!$E$5)/100,1)</f>
        <v>3</v>
      </c>
      <c r="Q221">
        <f t="shared" si="3"/>
        <v>9.4</v>
      </c>
      <c r="R221" t="s">
        <v>61</v>
      </c>
      <c r="S221" t="s">
        <v>62</v>
      </c>
    </row>
    <row r="222" spans="1:19">
      <c r="A222">
        <v>221</v>
      </c>
      <c r="B222" t="s">
        <v>376</v>
      </c>
      <c r="C222">
        <v>20</v>
      </c>
      <c r="D222">
        <v>40</v>
      </c>
      <c r="E222">
        <v>30</v>
      </c>
      <c r="F222">
        <v>10</v>
      </c>
      <c r="G222">
        <v>60</v>
      </c>
      <c r="H222">
        <v>25</v>
      </c>
      <c r="I222">
        <v>10</v>
      </c>
      <c r="J222">
        <v>5</v>
      </c>
      <c r="K222" t="s">
        <v>134</v>
      </c>
      <c r="L222" t="s">
        <v>135</v>
      </c>
      <c r="M222" t="s">
        <v>142</v>
      </c>
      <c r="N222" t="s">
        <v>143</v>
      </c>
      <c r="O222">
        <f>ROUND(($C222*Loss_Constants!$B$2+$D222*Loss_Constants!$B$3+$E222*Loss_Constants!$B$4+$F222*Loss_Constants!$B$5)/100,1)</f>
        <v>6.7</v>
      </c>
      <c r="P222">
        <f>ROUND(($G222*Loss_Constants!$E$2+$H222*Loss_Constants!$E$3+$I222*Loss_Constants!$E$4+$J222*Loss_Constants!$E$5)/100,1)</f>
        <v>2.5</v>
      </c>
      <c r="Q222">
        <f t="shared" si="3"/>
        <v>9.1999999999999993</v>
      </c>
      <c r="R222" t="s">
        <v>59</v>
      </c>
      <c r="S222" t="s">
        <v>60</v>
      </c>
    </row>
    <row r="223" spans="1:19">
      <c r="A223">
        <v>222</v>
      </c>
      <c r="B223" t="s">
        <v>377</v>
      </c>
      <c r="C223">
        <v>25</v>
      </c>
      <c r="D223">
        <v>20</v>
      </c>
      <c r="E223">
        <v>10</v>
      </c>
      <c r="F223">
        <v>45</v>
      </c>
      <c r="G223">
        <v>65</v>
      </c>
      <c r="H223">
        <v>20</v>
      </c>
      <c r="I223">
        <v>10</v>
      </c>
      <c r="J223">
        <v>5</v>
      </c>
      <c r="K223" t="s">
        <v>172</v>
      </c>
      <c r="L223" t="s">
        <v>287</v>
      </c>
      <c r="M223" t="s">
        <v>149</v>
      </c>
      <c r="N223" t="s">
        <v>174</v>
      </c>
      <c r="O223">
        <f>ROUND(($C223*Loss_Constants!$B$2+$D223*Loss_Constants!$B$3+$E223*Loss_Constants!$B$4+$F223*Loss_Constants!$B$5)/100,1)</f>
        <v>12.2</v>
      </c>
      <c r="P223">
        <f>ROUND(($G223*Loss_Constants!$E$2+$H223*Loss_Constants!$E$3+$I223*Loss_Constants!$E$4+$J223*Loss_Constants!$E$5)/100,1)</f>
        <v>2.4</v>
      </c>
      <c r="Q223">
        <f t="shared" si="3"/>
        <v>14.6</v>
      </c>
      <c r="R223" t="s">
        <v>33</v>
      </c>
      <c r="S223" t="s">
        <v>34</v>
      </c>
    </row>
    <row r="224" spans="1:19">
      <c r="A224">
        <v>223</v>
      </c>
      <c r="B224" t="s">
        <v>378</v>
      </c>
      <c r="C224">
        <v>25</v>
      </c>
      <c r="D224">
        <v>20</v>
      </c>
      <c r="E224">
        <v>10</v>
      </c>
      <c r="F224">
        <v>45</v>
      </c>
      <c r="G224">
        <v>65</v>
      </c>
      <c r="H224">
        <v>20</v>
      </c>
      <c r="I224">
        <v>10</v>
      </c>
      <c r="J224">
        <v>5</v>
      </c>
      <c r="K224" t="s">
        <v>172</v>
      </c>
      <c r="L224" t="s">
        <v>287</v>
      </c>
      <c r="M224" t="s">
        <v>149</v>
      </c>
      <c r="N224" t="s">
        <v>174</v>
      </c>
      <c r="O224">
        <f>ROUND(($C224*Loss_Constants!$B$2+$D224*Loss_Constants!$B$3+$E224*Loss_Constants!$B$4+$F224*Loss_Constants!$B$5)/100,1)</f>
        <v>12.2</v>
      </c>
      <c r="P224">
        <f>ROUND(($G224*Loss_Constants!$E$2+$H224*Loss_Constants!$E$3+$I224*Loss_Constants!$E$4+$J224*Loss_Constants!$E$5)/100,1)</f>
        <v>2.4</v>
      </c>
      <c r="Q224">
        <f t="shared" si="3"/>
        <v>14.6</v>
      </c>
      <c r="R224" t="s">
        <v>33</v>
      </c>
      <c r="S224" t="s">
        <v>34</v>
      </c>
    </row>
    <row r="225" spans="1:19">
      <c r="A225">
        <v>224</v>
      </c>
      <c r="B225" t="s">
        <v>379</v>
      </c>
      <c r="C225">
        <v>20</v>
      </c>
      <c r="D225">
        <v>30</v>
      </c>
      <c r="E225">
        <v>5</v>
      </c>
      <c r="F225">
        <v>45</v>
      </c>
      <c r="G225">
        <v>15</v>
      </c>
      <c r="H225">
        <v>30</v>
      </c>
      <c r="I225">
        <v>35</v>
      </c>
      <c r="J225">
        <v>20</v>
      </c>
      <c r="K225" t="s">
        <v>134</v>
      </c>
      <c r="L225" t="s">
        <v>135</v>
      </c>
      <c r="M225" t="s">
        <v>149</v>
      </c>
      <c r="N225" t="s">
        <v>137</v>
      </c>
      <c r="O225">
        <f>ROUND(($C225*Loss_Constants!$B$2+$D225*Loss_Constants!$B$3+$E225*Loss_Constants!$B$4+$F225*Loss_Constants!$B$5)/100,1)</f>
        <v>11.9</v>
      </c>
      <c r="P225">
        <f>ROUND(($G225*Loss_Constants!$E$2+$H225*Loss_Constants!$E$3+$I225*Loss_Constants!$E$4+$J225*Loss_Constants!$E$5)/100,1)</f>
        <v>5.2</v>
      </c>
      <c r="Q225">
        <f t="shared" si="3"/>
        <v>17.100000000000001</v>
      </c>
      <c r="R225" t="s">
        <v>51</v>
      </c>
      <c r="S225" t="s">
        <v>52</v>
      </c>
    </row>
    <row r="226" spans="1:19">
      <c r="A226">
        <v>225</v>
      </c>
      <c r="B226" t="s">
        <v>380</v>
      </c>
      <c r="C226">
        <v>20</v>
      </c>
      <c r="D226">
        <v>25</v>
      </c>
      <c r="E226">
        <v>0</v>
      </c>
      <c r="F226">
        <v>55</v>
      </c>
      <c r="G226">
        <v>10</v>
      </c>
      <c r="H226">
        <v>25</v>
      </c>
      <c r="I226">
        <v>35</v>
      </c>
      <c r="J226">
        <v>30</v>
      </c>
      <c r="K226" t="s">
        <v>134</v>
      </c>
      <c r="L226" t="s">
        <v>148</v>
      </c>
      <c r="M226" t="s">
        <v>136</v>
      </c>
      <c r="N226" t="s">
        <v>137</v>
      </c>
      <c r="O226">
        <f>ROUND(($C226*Loss_Constants!$B$2+$D226*Loss_Constants!$B$3+$E226*Loss_Constants!$B$4+$F226*Loss_Constants!$B$5)/100,1)</f>
        <v>13.3</v>
      </c>
      <c r="P226">
        <f>ROUND(($G226*Loss_Constants!$E$2+$H226*Loss_Constants!$E$3+$I226*Loss_Constants!$E$4+$J226*Loss_Constants!$E$5)/100,1)</f>
        <v>6</v>
      </c>
      <c r="Q226">
        <f t="shared" si="3"/>
        <v>19.3</v>
      </c>
      <c r="R226" t="s">
        <v>87</v>
      </c>
      <c r="S226" t="s">
        <v>88</v>
      </c>
    </row>
    <row r="227" spans="1:19">
      <c r="A227">
        <v>226</v>
      </c>
      <c r="B227" t="s">
        <v>381</v>
      </c>
      <c r="C227">
        <v>20</v>
      </c>
      <c r="D227">
        <v>25</v>
      </c>
      <c r="E227">
        <v>0</v>
      </c>
      <c r="F227">
        <v>55</v>
      </c>
      <c r="G227">
        <v>10</v>
      </c>
      <c r="H227">
        <v>25</v>
      </c>
      <c r="I227">
        <v>35</v>
      </c>
      <c r="J227">
        <v>30</v>
      </c>
      <c r="K227" t="s">
        <v>134</v>
      </c>
      <c r="L227" t="s">
        <v>148</v>
      </c>
      <c r="M227" t="s">
        <v>136</v>
      </c>
      <c r="N227" t="s">
        <v>137</v>
      </c>
      <c r="O227">
        <f>ROUND(($C227*Loss_Constants!$B$2+$D227*Loss_Constants!$B$3+$E227*Loss_Constants!$B$4+$F227*Loss_Constants!$B$5)/100,1)</f>
        <v>13.3</v>
      </c>
      <c r="P227">
        <f>ROUND(($G227*Loss_Constants!$E$2+$H227*Loss_Constants!$E$3+$I227*Loss_Constants!$E$4+$J227*Loss_Constants!$E$5)/100,1)</f>
        <v>6</v>
      </c>
      <c r="Q227">
        <f t="shared" si="3"/>
        <v>19.3</v>
      </c>
      <c r="R227" t="s">
        <v>87</v>
      </c>
      <c r="S227" t="s">
        <v>88</v>
      </c>
    </row>
    <row r="228" spans="1:19">
      <c r="A228">
        <v>227</v>
      </c>
      <c r="B228" t="s">
        <v>382</v>
      </c>
      <c r="C228">
        <v>20</v>
      </c>
      <c r="D228">
        <v>40</v>
      </c>
      <c r="E228">
        <v>30</v>
      </c>
      <c r="F228">
        <v>10</v>
      </c>
      <c r="G228">
        <v>60</v>
      </c>
      <c r="H228">
        <v>25</v>
      </c>
      <c r="I228">
        <v>10</v>
      </c>
      <c r="J228">
        <v>5</v>
      </c>
      <c r="K228" t="s">
        <v>134</v>
      </c>
      <c r="L228" t="s">
        <v>135</v>
      </c>
      <c r="M228" t="s">
        <v>142</v>
      </c>
      <c r="N228" t="s">
        <v>143</v>
      </c>
      <c r="O228">
        <f>ROUND(($C228*Loss_Constants!$B$2+$D228*Loss_Constants!$B$3+$E228*Loss_Constants!$B$4+$F228*Loss_Constants!$B$5)/100,1)</f>
        <v>6.7</v>
      </c>
      <c r="P228">
        <f>ROUND(($G228*Loss_Constants!$E$2+$H228*Loss_Constants!$E$3+$I228*Loss_Constants!$E$4+$J228*Loss_Constants!$E$5)/100,1)</f>
        <v>2.5</v>
      </c>
      <c r="Q228">
        <f t="shared" si="3"/>
        <v>9.1999999999999993</v>
      </c>
      <c r="R228" t="s">
        <v>59</v>
      </c>
      <c r="S228" t="s">
        <v>60</v>
      </c>
    </row>
    <row r="229" spans="1:19">
      <c r="A229">
        <v>228</v>
      </c>
      <c r="B229" t="s">
        <v>383</v>
      </c>
      <c r="C229">
        <v>25</v>
      </c>
      <c r="D229">
        <v>20</v>
      </c>
      <c r="E229">
        <v>35</v>
      </c>
      <c r="F229">
        <v>20</v>
      </c>
      <c r="G229">
        <v>65</v>
      </c>
      <c r="H229">
        <v>20</v>
      </c>
      <c r="I229">
        <v>10</v>
      </c>
      <c r="J229">
        <v>5</v>
      </c>
      <c r="K229" t="s">
        <v>182</v>
      </c>
      <c r="L229" t="s">
        <v>183</v>
      </c>
      <c r="M229" t="s">
        <v>149</v>
      </c>
      <c r="N229" t="s">
        <v>143</v>
      </c>
      <c r="O229">
        <f>ROUND(($C229*Loss_Constants!$B$2+$D229*Loss_Constants!$B$3+$E229*Loss_Constants!$B$4+$F229*Loss_Constants!$B$5)/100,1)</f>
        <v>8.5</v>
      </c>
      <c r="P229">
        <f>ROUND(($G229*Loss_Constants!$E$2+$H229*Loss_Constants!$E$3+$I229*Loss_Constants!$E$4+$J229*Loss_Constants!$E$5)/100,1)</f>
        <v>2.4</v>
      </c>
      <c r="Q229">
        <f t="shared" si="3"/>
        <v>10.9</v>
      </c>
      <c r="R229" t="s">
        <v>3</v>
      </c>
      <c r="S229" t="s">
        <v>4</v>
      </c>
    </row>
    <row r="230" spans="1:19">
      <c r="A230">
        <v>229</v>
      </c>
      <c r="B230" t="s">
        <v>384</v>
      </c>
      <c r="C230">
        <v>15</v>
      </c>
      <c r="D230">
        <v>35</v>
      </c>
      <c r="E230">
        <v>20</v>
      </c>
      <c r="F230">
        <v>30</v>
      </c>
      <c r="G230">
        <v>45</v>
      </c>
      <c r="H230">
        <v>30</v>
      </c>
      <c r="I230">
        <v>20</v>
      </c>
      <c r="J230">
        <v>5</v>
      </c>
      <c r="K230" t="s">
        <v>172</v>
      </c>
      <c r="L230" t="s">
        <v>277</v>
      </c>
      <c r="M230" t="s">
        <v>149</v>
      </c>
      <c r="N230" t="s">
        <v>143</v>
      </c>
      <c r="O230">
        <f>ROUND(($C230*Loss_Constants!$B$2+$D230*Loss_Constants!$B$3+$E230*Loss_Constants!$B$4+$F230*Loss_Constants!$B$5)/100,1)</f>
        <v>9.1999999999999993</v>
      </c>
      <c r="P230">
        <f>ROUND(($G230*Loss_Constants!$E$2+$H230*Loss_Constants!$E$3+$I230*Loss_Constants!$E$4+$J230*Loss_Constants!$E$5)/100,1)</f>
        <v>3.1</v>
      </c>
      <c r="Q230">
        <f t="shared" si="3"/>
        <v>12.3</v>
      </c>
      <c r="R230" t="s">
        <v>27</v>
      </c>
      <c r="S230" t="s">
        <v>28</v>
      </c>
    </row>
    <row r="231" spans="1:19">
      <c r="A231">
        <v>230</v>
      </c>
      <c r="B231" t="s">
        <v>385</v>
      </c>
      <c r="C231">
        <v>25</v>
      </c>
      <c r="D231">
        <v>10</v>
      </c>
      <c r="E231">
        <v>0</v>
      </c>
      <c r="F231">
        <v>65</v>
      </c>
      <c r="G231">
        <v>10</v>
      </c>
      <c r="H231">
        <v>20</v>
      </c>
      <c r="I231">
        <v>30</v>
      </c>
      <c r="J231">
        <v>40</v>
      </c>
      <c r="K231" t="s">
        <v>147</v>
      </c>
      <c r="L231" t="s">
        <v>148</v>
      </c>
      <c r="M231" t="s">
        <v>149</v>
      </c>
      <c r="N231" t="s">
        <v>150</v>
      </c>
      <c r="O231">
        <f>ROUND(($C231*Loss_Constants!$B$2+$D231*Loss_Constants!$B$3+$E231*Loss_Constants!$B$4+$F231*Loss_Constants!$B$5)/100,1)</f>
        <v>15.1</v>
      </c>
      <c r="P231">
        <f>ROUND(($G231*Loss_Constants!$E$2+$H231*Loss_Constants!$E$3+$I231*Loss_Constants!$E$4+$J231*Loss_Constants!$E$5)/100,1)</f>
        <v>6.5</v>
      </c>
      <c r="Q231">
        <f t="shared" si="3"/>
        <v>21.6</v>
      </c>
      <c r="R231" t="s">
        <v>49</v>
      </c>
      <c r="S231" t="s">
        <v>50</v>
      </c>
    </row>
    <row r="232" spans="1:19">
      <c r="A232">
        <v>231</v>
      </c>
      <c r="B232" t="s">
        <v>386</v>
      </c>
      <c r="C232">
        <v>25</v>
      </c>
      <c r="D232">
        <v>10</v>
      </c>
      <c r="E232">
        <v>0</v>
      </c>
      <c r="F232">
        <v>65</v>
      </c>
      <c r="G232">
        <v>10</v>
      </c>
      <c r="H232">
        <v>20</v>
      </c>
      <c r="I232">
        <v>30</v>
      </c>
      <c r="J232">
        <v>40</v>
      </c>
      <c r="K232" t="s">
        <v>147</v>
      </c>
      <c r="L232" t="s">
        <v>148</v>
      </c>
      <c r="M232" t="s">
        <v>149</v>
      </c>
      <c r="N232" t="s">
        <v>150</v>
      </c>
      <c r="O232">
        <f>ROUND(($C232*Loss_Constants!$B$2+$D232*Loss_Constants!$B$3+$E232*Loss_Constants!$B$4+$F232*Loss_Constants!$B$5)/100,1)</f>
        <v>15.1</v>
      </c>
      <c r="P232">
        <f>ROUND(($G232*Loss_Constants!$E$2+$H232*Loss_Constants!$E$3+$I232*Loss_Constants!$E$4+$J232*Loss_Constants!$E$5)/100,1)</f>
        <v>6.5</v>
      </c>
      <c r="Q232">
        <f t="shared" si="3"/>
        <v>21.6</v>
      </c>
      <c r="R232" t="s">
        <v>49</v>
      </c>
      <c r="S232" t="s">
        <v>50</v>
      </c>
    </row>
    <row r="233" spans="1:19">
      <c r="A233">
        <v>232</v>
      </c>
      <c r="B233" t="s">
        <v>387</v>
      </c>
      <c r="C233">
        <v>25</v>
      </c>
      <c r="D233">
        <v>15</v>
      </c>
      <c r="E233">
        <v>20</v>
      </c>
      <c r="F233">
        <v>40</v>
      </c>
      <c r="G233">
        <v>40</v>
      </c>
      <c r="H233">
        <v>25</v>
      </c>
      <c r="I233">
        <v>25</v>
      </c>
      <c r="J233">
        <v>10</v>
      </c>
      <c r="K233" t="s">
        <v>172</v>
      </c>
      <c r="L233" t="s">
        <v>183</v>
      </c>
      <c r="M233" t="s">
        <v>149</v>
      </c>
      <c r="N233" t="s">
        <v>143</v>
      </c>
      <c r="O233">
        <f>ROUND(($C233*Loss_Constants!$B$2+$D233*Loss_Constants!$B$3+$E233*Loss_Constants!$B$4+$F233*Loss_Constants!$B$5)/100,1)</f>
        <v>11.4</v>
      </c>
      <c r="P233">
        <f>ROUND(($G233*Loss_Constants!$E$2+$H233*Loss_Constants!$E$3+$I233*Loss_Constants!$E$4+$J233*Loss_Constants!$E$5)/100,1)</f>
        <v>3.7</v>
      </c>
      <c r="Q233">
        <f t="shared" si="3"/>
        <v>15.1</v>
      </c>
      <c r="R233" t="s">
        <v>85</v>
      </c>
      <c r="S233" t="s">
        <v>86</v>
      </c>
    </row>
    <row r="234" spans="1:19">
      <c r="A234">
        <v>233</v>
      </c>
      <c r="B234" t="s">
        <v>388</v>
      </c>
      <c r="C234">
        <v>25</v>
      </c>
      <c r="D234">
        <v>15</v>
      </c>
      <c r="E234">
        <v>20</v>
      </c>
      <c r="F234">
        <v>40</v>
      </c>
      <c r="G234">
        <v>40</v>
      </c>
      <c r="H234">
        <v>25</v>
      </c>
      <c r="I234">
        <v>25</v>
      </c>
      <c r="J234">
        <v>10</v>
      </c>
      <c r="K234" t="s">
        <v>172</v>
      </c>
      <c r="L234" t="s">
        <v>183</v>
      </c>
      <c r="M234" t="s">
        <v>149</v>
      </c>
      <c r="N234" t="s">
        <v>143</v>
      </c>
      <c r="O234">
        <f>ROUND(($C234*Loss_Constants!$B$2+$D234*Loss_Constants!$B$3+$E234*Loss_Constants!$B$4+$F234*Loss_Constants!$B$5)/100,1)</f>
        <v>11.4</v>
      </c>
      <c r="P234">
        <f>ROUND(($G234*Loss_Constants!$E$2+$H234*Loss_Constants!$E$3+$I234*Loss_Constants!$E$4+$J234*Loss_Constants!$E$5)/100,1)</f>
        <v>3.7</v>
      </c>
      <c r="Q234">
        <f t="shared" si="3"/>
        <v>15.1</v>
      </c>
      <c r="R234" t="s">
        <v>85</v>
      </c>
      <c r="S234" t="s">
        <v>86</v>
      </c>
    </row>
    <row r="235" spans="1:19">
      <c r="A235">
        <v>234</v>
      </c>
      <c r="B235" t="s">
        <v>389</v>
      </c>
      <c r="C235">
        <v>25</v>
      </c>
      <c r="D235">
        <v>20</v>
      </c>
      <c r="E235">
        <v>35</v>
      </c>
      <c r="F235">
        <v>20</v>
      </c>
      <c r="G235">
        <v>65</v>
      </c>
      <c r="H235">
        <v>20</v>
      </c>
      <c r="I235">
        <v>10</v>
      </c>
      <c r="J235">
        <v>5</v>
      </c>
      <c r="K235" t="s">
        <v>182</v>
      </c>
      <c r="L235" t="s">
        <v>183</v>
      </c>
      <c r="M235" t="s">
        <v>149</v>
      </c>
      <c r="N235" t="s">
        <v>143</v>
      </c>
      <c r="O235">
        <f>ROUND(($C235*Loss_Constants!$B$2+$D235*Loss_Constants!$B$3+$E235*Loss_Constants!$B$4+$F235*Loss_Constants!$B$5)/100,1)</f>
        <v>8.5</v>
      </c>
      <c r="P235">
        <f>ROUND(($G235*Loss_Constants!$E$2+$H235*Loss_Constants!$E$3+$I235*Loss_Constants!$E$4+$J235*Loss_Constants!$E$5)/100,1)</f>
        <v>2.4</v>
      </c>
      <c r="Q235">
        <f t="shared" si="3"/>
        <v>10.9</v>
      </c>
      <c r="R235" t="s">
        <v>3</v>
      </c>
      <c r="S235" t="s">
        <v>4</v>
      </c>
    </row>
    <row r="236" spans="1:19">
      <c r="A236">
        <v>235</v>
      </c>
      <c r="B236" t="s">
        <v>390</v>
      </c>
      <c r="C236">
        <v>25</v>
      </c>
      <c r="D236">
        <v>20</v>
      </c>
      <c r="E236">
        <v>35</v>
      </c>
      <c r="F236">
        <v>20</v>
      </c>
      <c r="G236">
        <v>65</v>
      </c>
      <c r="H236">
        <v>20</v>
      </c>
      <c r="I236">
        <v>10</v>
      </c>
      <c r="J236">
        <v>5</v>
      </c>
      <c r="K236" t="s">
        <v>182</v>
      </c>
      <c r="L236" t="s">
        <v>183</v>
      </c>
      <c r="M236" t="s">
        <v>149</v>
      </c>
      <c r="N236" t="s">
        <v>143</v>
      </c>
      <c r="O236">
        <f>ROUND(($C236*Loss_Constants!$B$2+$D236*Loss_Constants!$B$3+$E236*Loss_Constants!$B$4+$F236*Loss_Constants!$B$5)/100,1)</f>
        <v>8.5</v>
      </c>
      <c r="P236">
        <f>ROUND(($G236*Loss_Constants!$E$2+$H236*Loss_Constants!$E$3+$I236*Loss_Constants!$E$4+$J236*Loss_Constants!$E$5)/100,1)</f>
        <v>2.4</v>
      </c>
      <c r="Q236">
        <f t="shared" si="3"/>
        <v>10.9</v>
      </c>
      <c r="R236" t="s">
        <v>3</v>
      </c>
      <c r="S236" t="s">
        <v>4</v>
      </c>
    </row>
    <row r="237" spans="1:19">
      <c r="A237">
        <v>236</v>
      </c>
      <c r="B237" t="s">
        <v>391</v>
      </c>
      <c r="C237">
        <v>15</v>
      </c>
      <c r="D237">
        <v>35</v>
      </c>
      <c r="E237">
        <v>20</v>
      </c>
      <c r="F237">
        <v>30</v>
      </c>
      <c r="G237">
        <v>45</v>
      </c>
      <c r="H237">
        <v>30</v>
      </c>
      <c r="I237">
        <v>20</v>
      </c>
      <c r="J237">
        <v>5</v>
      </c>
      <c r="K237" t="s">
        <v>172</v>
      </c>
      <c r="L237" t="s">
        <v>277</v>
      </c>
      <c r="M237" t="s">
        <v>149</v>
      </c>
      <c r="N237" t="s">
        <v>143</v>
      </c>
      <c r="O237">
        <f>ROUND(($C237*Loss_Constants!$B$2+$D237*Loss_Constants!$B$3+$E237*Loss_Constants!$B$4+$F237*Loss_Constants!$B$5)/100,1)</f>
        <v>9.1999999999999993</v>
      </c>
      <c r="P237">
        <f>ROUND(($G237*Loss_Constants!$E$2+$H237*Loss_Constants!$E$3+$I237*Loss_Constants!$E$4+$J237*Loss_Constants!$E$5)/100,1)</f>
        <v>3.1</v>
      </c>
      <c r="Q237">
        <f t="shared" si="3"/>
        <v>12.3</v>
      </c>
      <c r="R237" t="s">
        <v>27</v>
      </c>
      <c r="S237" t="s">
        <v>28</v>
      </c>
    </row>
    <row r="238" spans="1:19">
      <c r="A238">
        <v>237</v>
      </c>
      <c r="B238" t="s">
        <v>392</v>
      </c>
      <c r="C238">
        <v>25</v>
      </c>
      <c r="D238">
        <v>5</v>
      </c>
      <c r="E238">
        <v>5</v>
      </c>
      <c r="F238">
        <v>65</v>
      </c>
      <c r="G238">
        <v>30</v>
      </c>
      <c r="H238">
        <v>20</v>
      </c>
      <c r="I238">
        <v>30</v>
      </c>
      <c r="J238">
        <v>20</v>
      </c>
      <c r="K238" t="s">
        <v>172</v>
      </c>
      <c r="L238" t="s">
        <v>148</v>
      </c>
      <c r="M238" t="s">
        <v>149</v>
      </c>
      <c r="N238" t="s">
        <v>143</v>
      </c>
      <c r="O238">
        <f>ROUND(($C238*Loss_Constants!$B$2+$D238*Loss_Constants!$B$3+$E238*Loss_Constants!$B$4+$F238*Loss_Constants!$B$5)/100,1)</f>
        <v>15.1</v>
      </c>
      <c r="P238">
        <f>ROUND(($G238*Loss_Constants!$E$2+$H238*Loss_Constants!$E$3+$I238*Loss_Constants!$E$4+$J238*Loss_Constants!$E$5)/100,1)</f>
        <v>4.7</v>
      </c>
      <c r="Q238">
        <f t="shared" si="3"/>
        <v>19.8</v>
      </c>
      <c r="R238" t="s">
        <v>5</v>
      </c>
      <c r="S238" t="s">
        <v>6</v>
      </c>
    </row>
    <row r="239" spans="1:19">
      <c r="A239">
        <v>238</v>
      </c>
      <c r="B239" t="s">
        <v>393</v>
      </c>
      <c r="C239">
        <v>25</v>
      </c>
      <c r="D239">
        <v>20</v>
      </c>
      <c r="E239">
        <v>35</v>
      </c>
      <c r="F239">
        <v>20</v>
      </c>
      <c r="G239">
        <v>65</v>
      </c>
      <c r="H239">
        <v>20</v>
      </c>
      <c r="I239">
        <v>10</v>
      </c>
      <c r="J239">
        <v>5</v>
      </c>
      <c r="K239" t="s">
        <v>182</v>
      </c>
      <c r="L239" t="s">
        <v>183</v>
      </c>
      <c r="M239" t="s">
        <v>149</v>
      </c>
      <c r="N239" t="s">
        <v>143</v>
      </c>
      <c r="O239">
        <f>ROUND(($C239*Loss_Constants!$B$2+$D239*Loss_Constants!$B$3+$E239*Loss_Constants!$B$4+$F239*Loss_Constants!$B$5)/100,1)</f>
        <v>8.5</v>
      </c>
      <c r="P239">
        <f>ROUND(($G239*Loss_Constants!$E$2+$H239*Loss_Constants!$E$3+$I239*Loss_Constants!$E$4+$J239*Loss_Constants!$E$5)/100,1)</f>
        <v>2.4</v>
      </c>
      <c r="Q239">
        <f t="shared" si="3"/>
        <v>10.9</v>
      </c>
      <c r="R239" t="s">
        <v>3</v>
      </c>
      <c r="S239" t="s">
        <v>4</v>
      </c>
    </row>
    <row r="240" spans="1:19">
      <c r="A240">
        <v>239</v>
      </c>
      <c r="B240" t="s">
        <v>394</v>
      </c>
      <c r="C240">
        <v>25</v>
      </c>
      <c r="D240">
        <v>20</v>
      </c>
      <c r="E240">
        <v>35</v>
      </c>
      <c r="F240">
        <v>20</v>
      </c>
      <c r="G240">
        <v>65</v>
      </c>
      <c r="H240">
        <v>20</v>
      </c>
      <c r="I240">
        <v>10</v>
      </c>
      <c r="J240">
        <v>5</v>
      </c>
      <c r="K240" t="s">
        <v>182</v>
      </c>
      <c r="L240" t="s">
        <v>183</v>
      </c>
      <c r="M240" t="s">
        <v>149</v>
      </c>
      <c r="N240" t="s">
        <v>143</v>
      </c>
      <c r="O240">
        <f>ROUND(($C240*Loss_Constants!$B$2+$D240*Loss_Constants!$B$3+$E240*Loss_Constants!$B$4+$F240*Loss_Constants!$B$5)/100,1)</f>
        <v>8.5</v>
      </c>
      <c r="P240">
        <f>ROUND(($G240*Loss_Constants!$E$2+$H240*Loss_Constants!$E$3+$I240*Loss_Constants!$E$4+$J240*Loss_Constants!$E$5)/100,1)</f>
        <v>2.4</v>
      </c>
      <c r="Q240">
        <f t="shared" si="3"/>
        <v>10.9</v>
      </c>
      <c r="R240" t="s">
        <v>3</v>
      </c>
      <c r="S240" t="s">
        <v>4</v>
      </c>
    </row>
    <row r="241" spans="1:19">
      <c r="A241">
        <v>240</v>
      </c>
      <c r="B241" t="s">
        <v>395</v>
      </c>
      <c r="C241">
        <v>15</v>
      </c>
      <c r="D241">
        <v>55</v>
      </c>
      <c r="E241">
        <v>20</v>
      </c>
      <c r="F241">
        <v>10</v>
      </c>
      <c r="G241">
        <v>45</v>
      </c>
      <c r="H241">
        <v>35</v>
      </c>
      <c r="I241">
        <v>15</v>
      </c>
      <c r="J241">
        <v>5</v>
      </c>
      <c r="K241" t="s">
        <v>134</v>
      </c>
      <c r="L241" t="s">
        <v>135</v>
      </c>
      <c r="M241" t="s">
        <v>136</v>
      </c>
      <c r="N241" t="s">
        <v>137</v>
      </c>
      <c r="O241">
        <f>ROUND(($C241*Loss_Constants!$B$2+$D241*Loss_Constants!$B$3+$E241*Loss_Constants!$B$4+$F241*Loss_Constants!$B$5)/100,1)</f>
        <v>6.4</v>
      </c>
      <c r="P241">
        <f>ROUND(($G241*Loss_Constants!$E$2+$H241*Loss_Constants!$E$3+$I241*Loss_Constants!$E$4+$J241*Loss_Constants!$E$5)/100,1)</f>
        <v>2.9</v>
      </c>
      <c r="Q241">
        <f t="shared" si="3"/>
        <v>9.3000000000000007</v>
      </c>
      <c r="R241" t="s">
        <v>1</v>
      </c>
      <c r="S241" t="s">
        <v>2</v>
      </c>
    </row>
    <row r="242" spans="1:19">
      <c r="A242">
        <v>241</v>
      </c>
      <c r="B242" t="s">
        <v>396</v>
      </c>
      <c r="C242">
        <v>25</v>
      </c>
      <c r="D242">
        <v>5</v>
      </c>
      <c r="E242">
        <v>5</v>
      </c>
      <c r="F242">
        <v>65</v>
      </c>
      <c r="G242">
        <v>30</v>
      </c>
      <c r="H242">
        <v>20</v>
      </c>
      <c r="I242">
        <v>30</v>
      </c>
      <c r="J242">
        <v>20</v>
      </c>
      <c r="K242" t="s">
        <v>172</v>
      </c>
      <c r="L242" t="s">
        <v>148</v>
      </c>
      <c r="M242" t="s">
        <v>149</v>
      </c>
      <c r="N242" t="s">
        <v>143</v>
      </c>
      <c r="O242">
        <f>ROUND(($C242*Loss_Constants!$B$2+$D242*Loss_Constants!$B$3+$E242*Loss_Constants!$B$4+$F242*Loss_Constants!$B$5)/100,1)</f>
        <v>15.1</v>
      </c>
      <c r="P242">
        <f>ROUND(($G242*Loss_Constants!$E$2+$H242*Loss_Constants!$E$3+$I242*Loss_Constants!$E$4+$J242*Loss_Constants!$E$5)/100,1)</f>
        <v>4.7</v>
      </c>
      <c r="Q242">
        <f t="shared" si="3"/>
        <v>19.8</v>
      </c>
      <c r="R242" t="s">
        <v>5</v>
      </c>
      <c r="S242" t="s">
        <v>6</v>
      </c>
    </row>
    <row r="243" spans="1:19">
      <c r="A243">
        <v>242</v>
      </c>
      <c r="B243" t="s">
        <v>397</v>
      </c>
      <c r="C243">
        <v>20</v>
      </c>
      <c r="D243">
        <v>40</v>
      </c>
      <c r="E243">
        <v>30</v>
      </c>
      <c r="F243">
        <v>10</v>
      </c>
      <c r="G243">
        <v>60</v>
      </c>
      <c r="H243">
        <v>25</v>
      </c>
      <c r="I243">
        <v>10</v>
      </c>
      <c r="J243">
        <v>5</v>
      </c>
      <c r="K243" t="s">
        <v>134</v>
      </c>
      <c r="L243" t="s">
        <v>135</v>
      </c>
      <c r="M243" t="s">
        <v>142</v>
      </c>
      <c r="N243" t="s">
        <v>143</v>
      </c>
      <c r="O243">
        <f>ROUND(($C243*Loss_Constants!$B$2+$D243*Loss_Constants!$B$3+$E243*Loss_Constants!$B$4+$F243*Loss_Constants!$B$5)/100,1)</f>
        <v>6.7</v>
      </c>
      <c r="P243">
        <f>ROUND(($G243*Loss_Constants!$E$2+$H243*Loss_Constants!$E$3+$I243*Loss_Constants!$E$4+$J243*Loss_Constants!$E$5)/100,1)</f>
        <v>2.5</v>
      </c>
      <c r="Q243">
        <f t="shared" si="3"/>
        <v>9.1999999999999993</v>
      </c>
      <c r="R243" t="s">
        <v>59</v>
      </c>
      <c r="S243" t="s">
        <v>60</v>
      </c>
    </row>
    <row r="244" spans="1:19">
      <c r="A244">
        <v>243</v>
      </c>
      <c r="B244" t="s">
        <v>398</v>
      </c>
      <c r="C244">
        <v>25</v>
      </c>
      <c r="D244">
        <v>20</v>
      </c>
      <c r="E244">
        <v>35</v>
      </c>
      <c r="F244">
        <v>20</v>
      </c>
      <c r="G244">
        <v>65</v>
      </c>
      <c r="H244">
        <v>20</v>
      </c>
      <c r="I244">
        <v>10</v>
      </c>
      <c r="J244">
        <v>5</v>
      </c>
      <c r="K244" t="s">
        <v>182</v>
      </c>
      <c r="L244" t="s">
        <v>183</v>
      </c>
      <c r="M244" t="s">
        <v>149</v>
      </c>
      <c r="N244" t="s">
        <v>143</v>
      </c>
      <c r="O244">
        <f>ROUND(($C244*Loss_Constants!$B$2+$D244*Loss_Constants!$B$3+$E244*Loss_Constants!$B$4+$F244*Loss_Constants!$B$5)/100,1)</f>
        <v>8.5</v>
      </c>
      <c r="P244">
        <f>ROUND(($G244*Loss_Constants!$E$2+$H244*Loss_Constants!$E$3+$I244*Loss_Constants!$E$4+$J244*Loss_Constants!$E$5)/100,1)</f>
        <v>2.4</v>
      </c>
      <c r="Q244">
        <f t="shared" si="3"/>
        <v>10.9</v>
      </c>
      <c r="R244" t="s">
        <v>3</v>
      </c>
      <c r="S244" t="s">
        <v>4</v>
      </c>
    </row>
    <row r="245" spans="1:19">
      <c r="A245">
        <v>244</v>
      </c>
      <c r="B245" t="s">
        <v>399</v>
      </c>
      <c r="C245">
        <v>25</v>
      </c>
      <c r="D245">
        <v>20</v>
      </c>
      <c r="E245">
        <v>35</v>
      </c>
      <c r="F245">
        <v>20</v>
      </c>
      <c r="G245">
        <v>65</v>
      </c>
      <c r="H245">
        <v>20</v>
      </c>
      <c r="I245">
        <v>10</v>
      </c>
      <c r="J245">
        <v>5</v>
      </c>
      <c r="K245" t="s">
        <v>182</v>
      </c>
      <c r="L245" t="s">
        <v>183</v>
      </c>
      <c r="M245" t="s">
        <v>149</v>
      </c>
      <c r="N245" t="s">
        <v>143</v>
      </c>
      <c r="O245">
        <f>ROUND(($C245*Loss_Constants!$B$2+$D245*Loss_Constants!$B$3+$E245*Loss_Constants!$B$4+$F245*Loss_Constants!$B$5)/100,1)</f>
        <v>8.5</v>
      </c>
      <c r="P245">
        <f>ROUND(($G245*Loss_Constants!$E$2+$H245*Loss_Constants!$E$3+$I245*Loss_Constants!$E$4+$J245*Loss_Constants!$E$5)/100,1)</f>
        <v>2.4</v>
      </c>
      <c r="Q245">
        <f t="shared" si="3"/>
        <v>10.9</v>
      </c>
      <c r="R245" t="s">
        <v>3</v>
      </c>
      <c r="S245" t="s">
        <v>4</v>
      </c>
    </row>
    <row r="246" spans="1:19">
      <c r="A246">
        <v>245</v>
      </c>
      <c r="B246" t="s">
        <v>400</v>
      </c>
      <c r="C246">
        <v>25</v>
      </c>
      <c r="D246">
        <v>20</v>
      </c>
      <c r="E246">
        <v>35</v>
      </c>
      <c r="F246">
        <v>20</v>
      </c>
      <c r="G246">
        <v>65</v>
      </c>
      <c r="H246">
        <v>20</v>
      </c>
      <c r="I246">
        <v>10</v>
      </c>
      <c r="J246">
        <v>5</v>
      </c>
      <c r="K246" t="s">
        <v>182</v>
      </c>
      <c r="L246" t="s">
        <v>183</v>
      </c>
      <c r="M246" t="s">
        <v>149</v>
      </c>
      <c r="N246" t="s">
        <v>143</v>
      </c>
      <c r="O246">
        <f>ROUND(($C246*Loss_Constants!$B$2+$D246*Loss_Constants!$B$3+$E246*Loss_Constants!$B$4+$F246*Loss_Constants!$B$5)/100,1)</f>
        <v>8.5</v>
      </c>
      <c r="P246">
        <f>ROUND(($G246*Loss_Constants!$E$2+$H246*Loss_Constants!$E$3+$I246*Loss_Constants!$E$4+$J246*Loss_Constants!$E$5)/100,1)</f>
        <v>2.4</v>
      </c>
      <c r="Q246">
        <f t="shared" si="3"/>
        <v>10.9</v>
      </c>
      <c r="R246" t="s">
        <v>3</v>
      </c>
      <c r="S246" t="s">
        <v>4</v>
      </c>
    </row>
    <row r="247" spans="1:19">
      <c r="A247">
        <v>246</v>
      </c>
      <c r="B247" t="s">
        <v>401</v>
      </c>
      <c r="C247">
        <v>20</v>
      </c>
      <c r="D247">
        <v>10</v>
      </c>
      <c r="E247">
        <v>5</v>
      </c>
      <c r="F247">
        <v>65</v>
      </c>
      <c r="G247">
        <v>25</v>
      </c>
      <c r="H247">
        <v>25</v>
      </c>
      <c r="I247">
        <v>30</v>
      </c>
      <c r="J247">
        <v>20</v>
      </c>
      <c r="K247" t="s">
        <v>172</v>
      </c>
      <c r="L247" t="s">
        <v>148</v>
      </c>
      <c r="M247" t="s">
        <v>149</v>
      </c>
      <c r="N247" t="s">
        <v>137</v>
      </c>
      <c r="O247">
        <f>ROUND(($C247*Loss_Constants!$B$2+$D247*Loss_Constants!$B$3+$E247*Loss_Constants!$B$4+$F247*Loss_Constants!$B$5)/100,1)</f>
        <v>14.7</v>
      </c>
      <c r="P247">
        <f>ROUND(($G247*Loss_Constants!$E$2+$H247*Loss_Constants!$E$3+$I247*Loss_Constants!$E$4+$J247*Loss_Constants!$E$5)/100,1)</f>
        <v>4.8</v>
      </c>
      <c r="Q247">
        <f t="shared" si="3"/>
        <v>19.5</v>
      </c>
      <c r="R247" t="s">
        <v>91</v>
      </c>
      <c r="S247" t="s">
        <v>92</v>
      </c>
    </row>
    <row r="248" spans="1:19">
      <c r="A248">
        <v>247</v>
      </c>
      <c r="B248" t="s">
        <v>402</v>
      </c>
      <c r="C248">
        <v>25</v>
      </c>
      <c r="D248">
        <v>5</v>
      </c>
      <c r="E248">
        <v>5</v>
      </c>
      <c r="F248">
        <v>65</v>
      </c>
      <c r="G248">
        <v>35</v>
      </c>
      <c r="H248">
        <v>20</v>
      </c>
      <c r="I248">
        <v>30</v>
      </c>
      <c r="J248">
        <v>15</v>
      </c>
      <c r="K248" t="s">
        <v>172</v>
      </c>
      <c r="L248" t="s">
        <v>148</v>
      </c>
      <c r="M248" t="s">
        <v>149</v>
      </c>
      <c r="N248" t="s">
        <v>143</v>
      </c>
      <c r="O248">
        <f>ROUND(($C248*Loss_Constants!$B$2+$D248*Loss_Constants!$B$3+$E248*Loss_Constants!$B$4+$F248*Loss_Constants!$B$5)/100,1)</f>
        <v>15.1</v>
      </c>
      <c r="P248">
        <f>ROUND(($G248*Loss_Constants!$E$2+$H248*Loss_Constants!$E$3+$I248*Loss_Constants!$E$4+$J248*Loss_Constants!$E$5)/100,1)</f>
        <v>4.3</v>
      </c>
      <c r="Q248">
        <f t="shared" si="3"/>
        <v>19.399999999999999</v>
      </c>
      <c r="R248" t="s">
        <v>73</v>
      </c>
      <c r="S248" t="s">
        <v>74</v>
      </c>
    </row>
    <row r="249" spans="1:19">
      <c r="A249">
        <v>248</v>
      </c>
      <c r="B249" t="s">
        <v>403</v>
      </c>
      <c r="C249">
        <v>25</v>
      </c>
      <c r="D249">
        <v>5</v>
      </c>
      <c r="E249">
        <v>5</v>
      </c>
      <c r="F249">
        <v>65</v>
      </c>
      <c r="G249">
        <v>35</v>
      </c>
      <c r="H249">
        <v>20</v>
      </c>
      <c r="I249">
        <v>30</v>
      </c>
      <c r="J249">
        <v>15</v>
      </c>
      <c r="K249" t="s">
        <v>172</v>
      </c>
      <c r="L249" t="s">
        <v>148</v>
      </c>
      <c r="M249" t="s">
        <v>149</v>
      </c>
      <c r="N249" t="s">
        <v>143</v>
      </c>
      <c r="O249">
        <f>ROUND(($C249*Loss_Constants!$B$2+$D249*Loss_Constants!$B$3+$E249*Loss_Constants!$B$4+$F249*Loss_Constants!$B$5)/100,1)</f>
        <v>15.1</v>
      </c>
      <c r="P249">
        <f>ROUND(($G249*Loss_Constants!$E$2+$H249*Loss_Constants!$E$3+$I249*Loss_Constants!$E$4+$J249*Loss_Constants!$E$5)/100,1)</f>
        <v>4.3</v>
      </c>
      <c r="Q249">
        <f t="shared" si="3"/>
        <v>19.399999999999999</v>
      </c>
      <c r="R249" t="s">
        <v>73</v>
      </c>
      <c r="S249" t="s">
        <v>74</v>
      </c>
    </row>
    <row r="250" spans="1:19">
      <c r="A250">
        <v>249</v>
      </c>
      <c r="B250" t="s">
        <v>404</v>
      </c>
      <c r="C250">
        <v>25</v>
      </c>
      <c r="D250">
        <v>5</v>
      </c>
      <c r="E250">
        <v>5</v>
      </c>
      <c r="F250">
        <v>65</v>
      </c>
      <c r="G250">
        <v>35</v>
      </c>
      <c r="H250">
        <v>20</v>
      </c>
      <c r="I250">
        <v>30</v>
      </c>
      <c r="J250">
        <v>15</v>
      </c>
      <c r="K250" t="s">
        <v>172</v>
      </c>
      <c r="L250" t="s">
        <v>148</v>
      </c>
      <c r="M250" t="s">
        <v>149</v>
      </c>
      <c r="N250" t="s">
        <v>143</v>
      </c>
      <c r="O250">
        <f>ROUND(($C250*Loss_Constants!$B$2+$D250*Loss_Constants!$B$3+$E250*Loss_Constants!$B$4+$F250*Loss_Constants!$B$5)/100,1)</f>
        <v>15.1</v>
      </c>
      <c r="P250">
        <f>ROUND(($G250*Loss_Constants!$E$2+$H250*Loss_Constants!$E$3+$I250*Loss_Constants!$E$4+$J250*Loss_Constants!$E$5)/100,1)</f>
        <v>4.3</v>
      </c>
      <c r="Q250">
        <f t="shared" si="3"/>
        <v>19.399999999999999</v>
      </c>
      <c r="R250" t="s">
        <v>73</v>
      </c>
      <c r="S250" t="s">
        <v>74</v>
      </c>
    </row>
    <row r="251" spans="1:19">
      <c r="A251">
        <v>250</v>
      </c>
      <c r="B251" t="s">
        <v>405</v>
      </c>
      <c r="C251">
        <v>20</v>
      </c>
      <c r="D251">
        <v>10</v>
      </c>
      <c r="E251">
        <v>5</v>
      </c>
      <c r="F251">
        <v>65</v>
      </c>
      <c r="G251">
        <v>25</v>
      </c>
      <c r="H251">
        <v>25</v>
      </c>
      <c r="I251">
        <v>30</v>
      </c>
      <c r="J251">
        <v>20</v>
      </c>
      <c r="K251" t="s">
        <v>172</v>
      </c>
      <c r="L251" t="s">
        <v>148</v>
      </c>
      <c r="M251" t="s">
        <v>149</v>
      </c>
      <c r="N251" t="s">
        <v>137</v>
      </c>
      <c r="O251">
        <f>ROUND(($C251*Loss_Constants!$B$2+$D251*Loss_Constants!$B$3+$E251*Loss_Constants!$B$4+$F251*Loss_Constants!$B$5)/100,1)</f>
        <v>14.7</v>
      </c>
      <c r="P251">
        <f>ROUND(($G251*Loss_Constants!$E$2+$H251*Loss_Constants!$E$3+$I251*Loss_Constants!$E$4+$J251*Loss_Constants!$E$5)/100,1)</f>
        <v>4.8</v>
      </c>
      <c r="Q251">
        <f t="shared" si="3"/>
        <v>19.5</v>
      </c>
      <c r="R251" t="s">
        <v>91</v>
      </c>
      <c r="S251" t="s">
        <v>92</v>
      </c>
    </row>
    <row r="252" spans="1:19">
      <c r="A252">
        <v>251</v>
      </c>
      <c r="B252" t="s">
        <v>406</v>
      </c>
      <c r="C252">
        <v>20</v>
      </c>
      <c r="D252">
        <v>40</v>
      </c>
      <c r="E252">
        <v>30</v>
      </c>
      <c r="F252">
        <v>10</v>
      </c>
      <c r="G252">
        <v>60</v>
      </c>
      <c r="H252">
        <v>25</v>
      </c>
      <c r="I252">
        <v>10</v>
      </c>
      <c r="J252">
        <v>5</v>
      </c>
      <c r="K252" t="s">
        <v>134</v>
      </c>
      <c r="L252" t="s">
        <v>135</v>
      </c>
      <c r="M252" t="s">
        <v>142</v>
      </c>
      <c r="N252" t="s">
        <v>143</v>
      </c>
      <c r="O252">
        <f>ROUND(($C252*Loss_Constants!$B$2+$D252*Loss_Constants!$B$3+$E252*Loss_Constants!$B$4+$F252*Loss_Constants!$B$5)/100,1)</f>
        <v>6.7</v>
      </c>
      <c r="P252">
        <f>ROUND(($G252*Loss_Constants!$E$2+$H252*Loss_Constants!$E$3+$I252*Loss_Constants!$E$4+$J252*Loss_Constants!$E$5)/100,1)</f>
        <v>2.5</v>
      </c>
      <c r="Q252">
        <f t="shared" si="3"/>
        <v>9.1999999999999993</v>
      </c>
      <c r="R252" t="s">
        <v>59</v>
      </c>
      <c r="S252" t="s">
        <v>60</v>
      </c>
    </row>
    <row r="253" spans="1:19">
      <c r="A253">
        <v>252</v>
      </c>
      <c r="B253" t="s">
        <v>407</v>
      </c>
      <c r="C253">
        <v>70</v>
      </c>
      <c r="D253">
        <v>0</v>
      </c>
      <c r="E253">
        <v>0</v>
      </c>
      <c r="F253">
        <v>30</v>
      </c>
      <c r="G253">
        <v>75</v>
      </c>
      <c r="H253">
        <v>15</v>
      </c>
      <c r="I253">
        <v>8</v>
      </c>
      <c r="J253">
        <v>2</v>
      </c>
      <c r="K253" t="s">
        <v>172</v>
      </c>
      <c r="L253" t="s">
        <v>408</v>
      </c>
      <c r="M253" t="s">
        <v>142</v>
      </c>
      <c r="N253" t="s">
        <v>143</v>
      </c>
      <c r="O253">
        <f>ROUND(($C253*Loss_Constants!$B$2+$D253*Loss_Constants!$B$3+$E253*Loss_Constants!$B$4+$F253*Loss_Constants!$B$5)/100,1)</f>
        <v>13.8</v>
      </c>
      <c r="P253">
        <f>ROUND(($G253*Loss_Constants!$E$2+$H253*Loss_Constants!$E$3+$I253*Loss_Constants!$E$4+$J253*Loss_Constants!$E$5)/100,1)</f>
        <v>1.9</v>
      </c>
      <c r="Q253">
        <f t="shared" si="3"/>
        <v>15.7</v>
      </c>
      <c r="R253" t="s">
        <v>71</v>
      </c>
      <c r="S253" t="s">
        <v>72</v>
      </c>
    </row>
    <row r="254" spans="1:19">
      <c r="A254">
        <v>253</v>
      </c>
      <c r="B254" t="s">
        <v>409</v>
      </c>
      <c r="C254">
        <v>70</v>
      </c>
      <c r="D254">
        <v>0</v>
      </c>
      <c r="E254">
        <v>0</v>
      </c>
      <c r="F254">
        <v>30</v>
      </c>
      <c r="G254">
        <v>75</v>
      </c>
      <c r="H254">
        <v>15</v>
      </c>
      <c r="I254">
        <v>8</v>
      </c>
      <c r="J254">
        <v>2</v>
      </c>
      <c r="K254" t="s">
        <v>172</v>
      </c>
      <c r="L254" t="s">
        <v>408</v>
      </c>
      <c r="M254" t="s">
        <v>142</v>
      </c>
      <c r="N254" t="s">
        <v>143</v>
      </c>
      <c r="O254">
        <f>ROUND(($C254*Loss_Constants!$B$2+$D254*Loss_Constants!$B$3+$E254*Loss_Constants!$B$4+$F254*Loss_Constants!$B$5)/100,1)</f>
        <v>13.8</v>
      </c>
      <c r="P254">
        <f>ROUND(($G254*Loss_Constants!$E$2+$H254*Loss_Constants!$E$3+$I254*Loss_Constants!$E$4+$J254*Loss_Constants!$E$5)/100,1)</f>
        <v>1.9</v>
      </c>
      <c r="Q254">
        <f t="shared" si="3"/>
        <v>15.7</v>
      </c>
      <c r="R254" t="s">
        <v>71</v>
      </c>
      <c r="S254" t="s">
        <v>72</v>
      </c>
    </row>
    <row r="255" spans="1:19">
      <c r="A255">
        <v>254</v>
      </c>
      <c r="B255" t="s">
        <v>410</v>
      </c>
      <c r="C255">
        <v>25</v>
      </c>
      <c r="D255">
        <v>55</v>
      </c>
      <c r="E255">
        <v>10</v>
      </c>
      <c r="F255">
        <v>10</v>
      </c>
      <c r="G255">
        <v>70</v>
      </c>
      <c r="H255">
        <v>25</v>
      </c>
      <c r="I255">
        <v>5</v>
      </c>
      <c r="J255">
        <v>0</v>
      </c>
      <c r="K255" t="s">
        <v>134</v>
      </c>
      <c r="L255" t="s">
        <v>135</v>
      </c>
      <c r="M255" t="s">
        <v>142</v>
      </c>
      <c r="N255" t="s">
        <v>143</v>
      </c>
      <c r="O255">
        <f>ROUND(($C255*Loss_Constants!$B$2+$D255*Loss_Constants!$B$3+$E255*Loss_Constants!$B$4+$F255*Loss_Constants!$B$5)/100,1)</f>
        <v>7.3</v>
      </c>
      <c r="P255">
        <f>ROUND(($G255*Loss_Constants!$E$2+$H255*Loss_Constants!$E$3+$I255*Loss_Constants!$E$4+$J255*Loss_Constants!$E$5)/100,1)</f>
        <v>1.8</v>
      </c>
      <c r="Q255">
        <f t="shared" si="3"/>
        <v>9.1</v>
      </c>
      <c r="R255" t="s">
        <v>21</v>
      </c>
      <c r="S255" t="s">
        <v>22</v>
      </c>
    </row>
    <row r="256" spans="1:19">
      <c r="A256">
        <v>255</v>
      </c>
      <c r="B256" t="s">
        <v>411</v>
      </c>
      <c r="C256">
        <v>15</v>
      </c>
      <c r="D256">
        <v>55</v>
      </c>
      <c r="E256">
        <v>20</v>
      </c>
      <c r="F256">
        <v>10</v>
      </c>
      <c r="G256">
        <v>45</v>
      </c>
      <c r="H256">
        <v>35</v>
      </c>
      <c r="I256">
        <v>15</v>
      </c>
      <c r="J256">
        <v>5</v>
      </c>
      <c r="K256" t="s">
        <v>134</v>
      </c>
      <c r="L256" t="s">
        <v>135</v>
      </c>
      <c r="M256" t="s">
        <v>136</v>
      </c>
      <c r="N256" t="s">
        <v>137</v>
      </c>
      <c r="O256">
        <f>ROUND(($C256*Loss_Constants!$B$2+$D256*Loss_Constants!$B$3+$E256*Loss_Constants!$B$4+$F256*Loss_Constants!$B$5)/100,1)</f>
        <v>6.4</v>
      </c>
      <c r="P256">
        <f>ROUND(($G256*Loss_Constants!$E$2+$H256*Loss_Constants!$E$3+$I256*Loss_Constants!$E$4+$J256*Loss_Constants!$E$5)/100,1)</f>
        <v>2.9</v>
      </c>
      <c r="Q256">
        <f t="shared" si="3"/>
        <v>9.3000000000000007</v>
      </c>
      <c r="R256" t="s">
        <v>1</v>
      </c>
      <c r="S256" t="s">
        <v>2</v>
      </c>
    </row>
    <row r="257" spans="1:19">
      <c r="A257">
        <v>256</v>
      </c>
      <c r="B257" t="s">
        <v>412</v>
      </c>
      <c r="C257">
        <v>20</v>
      </c>
      <c r="D257">
        <v>10</v>
      </c>
      <c r="E257">
        <v>5</v>
      </c>
      <c r="F257">
        <v>65</v>
      </c>
      <c r="G257">
        <v>25</v>
      </c>
      <c r="H257">
        <v>20</v>
      </c>
      <c r="I257">
        <v>35</v>
      </c>
      <c r="J257">
        <v>20</v>
      </c>
      <c r="K257" t="s">
        <v>172</v>
      </c>
      <c r="L257" t="s">
        <v>148</v>
      </c>
      <c r="M257" t="s">
        <v>149</v>
      </c>
      <c r="N257" t="s">
        <v>140</v>
      </c>
      <c r="O257">
        <f>ROUND(($C257*Loss_Constants!$B$2+$D257*Loss_Constants!$B$3+$E257*Loss_Constants!$B$4+$F257*Loss_Constants!$B$5)/100,1)</f>
        <v>14.7</v>
      </c>
      <c r="P257">
        <f>ROUND(($G257*Loss_Constants!$E$2+$H257*Loss_Constants!$E$3+$I257*Loss_Constants!$E$4+$J257*Loss_Constants!$E$5)/100,1)</f>
        <v>5</v>
      </c>
      <c r="Q257">
        <f t="shared" si="3"/>
        <v>19.7</v>
      </c>
      <c r="R257" t="s">
        <v>89</v>
      </c>
      <c r="S257" t="s">
        <v>90</v>
      </c>
    </row>
    <row r="258" spans="1:19">
      <c r="A258">
        <v>257</v>
      </c>
      <c r="B258" t="s">
        <v>413</v>
      </c>
      <c r="C258">
        <v>20</v>
      </c>
      <c r="D258">
        <v>10</v>
      </c>
      <c r="E258">
        <v>5</v>
      </c>
      <c r="F258">
        <v>65</v>
      </c>
      <c r="G258">
        <v>25</v>
      </c>
      <c r="H258">
        <v>20</v>
      </c>
      <c r="I258">
        <v>35</v>
      </c>
      <c r="J258">
        <v>20</v>
      </c>
      <c r="K258" t="s">
        <v>172</v>
      </c>
      <c r="L258" t="s">
        <v>148</v>
      </c>
      <c r="M258" t="s">
        <v>149</v>
      </c>
      <c r="N258" t="s">
        <v>140</v>
      </c>
      <c r="O258">
        <f>ROUND(($C258*Loss_Constants!$B$2+$D258*Loss_Constants!$B$3+$E258*Loss_Constants!$B$4+$F258*Loss_Constants!$B$5)/100,1)</f>
        <v>14.7</v>
      </c>
      <c r="P258">
        <f>ROUND(($G258*Loss_Constants!$E$2+$H258*Loss_Constants!$E$3+$I258*Loss_Constants!$E$4+$J258*Loss_Constants!$E$5)/100,1)</f>
        <v>5</v>
      </c>
      <c r="Q258">
        <f t="shared" ref="Q258:Q321" si="4">ROUND(O258+P258,1)</f>
        <v>19.7</v>
      </c>
      <c r="R258" t="s">
        <v>89</v>
      </c>
      <c r="S258" t="s">
        <v>90</v>
      </c>
    </row>
    <row r="259" spans="1:19">
      <c r="A259">
        <v>258</v>
      </c>
      <c r="B259" t="s">
        <v>414</v>
      </c>
      <c r="C259">
        <v>20</v>
      </c>
      <c r="D259">
        <v>10</v>
      </c>
      <c r="E259">
        <v>5</v>
      </c>
      <c r="F259">
        <v>65</v>
      </c>
      <c r="G259">
        <v>25</v>
      </c>
      <c r="H259">
        <v>20</v>
      </c>
      <c r="I259">
        <v>35</v>
      </c>
      <c r="J259">
        <v>20</v>
      </c>
      <c r="K259" t="s">
        <v>172</v>
      </c>
      <c r="L259" t="s">
        <v>148</v>
      </c>
      <c r="M259" t="s">
        <v>149</v>
      </c>
      <c r="N259" t="s">
        <v>140</v>
      </c>
      <c r="O259">
        <f>ROUND(($C259*Loss_Constants!$B$2+$D259*Loss_Constants!$B$3+$E259*Loss_Constants!$B$4+$F259*Loss_Constants!$B$5)/100,1)</f>
        <v>14.7</v>
      </c>
      <c r="P259">
        <f>ROUND(($G259*Loss_Constants!$E$2+$H259*Loss_Constants!$E$3+$I259*Loss_Constants!$E$4+$J259*Loss_Constants!$E$5)/100,1)</f>
        <v>5</v>
      </c>
      <c r="Q259">
        <f t="shared" si="4"/>
        <v>19.7</v>
      </c>
      <c r="R259" t="s">
        <v>89</v>
      </c>
      <c r="S259" t="s">
        <v>90</v>
      </c>
    </row>
    <row r="260" spans="1:19">
      <c r="A260">
        <v>259</v>
      </c>
      <c r="B260" t="s">
        <v>415</v>
      </c>
      <c r="C260">
        <v>15</v>
      </c>
      <c r="D260">
        <v>55</v>
      </c>
      <c r="E260">
        <v>20</v>
      </c>
      <c r="F260">
        <v>10</v>
      </c>
      <c r="G260">
        <v>45</v>
      </c>
      <c r="H260">
        <v>35</v>
      </c>
      <c r="I260">
        <v>15</v>
      </c>
      <c r="J260">
        <v>5</v>
      </c>
      <c r="K260" t="s">
        <v>134</v>
      </c>
      <c r="L260" t="s">
        <v>135</v>
      </c>
      <c r="M260" t="s">
        <v>136</v>
      </c>
      <c r="N260" t="s">
        <v>137</v>
      </c>
      <c r="O260">
        <f>ROUND(($C260*Loss_Constants!$B$2+$D260*Loss_Constants!$B$3+$E260*Loss_Constants!$B$4+$F260*Loss_Constants!$B$5)/100,1)</f>
        <v>6.4</v>
      </c>
      <c r="P260">
        <f>ROUND(($G260*Loss_Constants!$E$2+$H260*Loss_Constants!$E$3+$I260*Loss_Constants!$E$4+$J260*Loss_Constants!$E$5)/100,1)</f>
        <v>2.9</v>
      </c>
      <c r="Q260">
        <f t="shared" si="4"/>
        <v>9.3000000000000007</v>
      </c>
      <c r="R260" t="s">
        <v>1</v>
      </c>
      <c r="S260" t="s">
        <v>2</v>
      </c>
    </row>
    <row r="261" spans="1:19">
      <c r="A261">
        <v>260</v>
      </c>
      <c r="B261" t="s">
        <v>416</v>
      </c>
      <c r="C261">
        <v>15</v>
      </c>
      <c r="D261">
        <v>45</v>
      </c>
      <c r="E261">
        <v>15</v>
      </c>
      <c r="F261">
        <v>25</v>
      </c>
      <c r="G261">
        <v>35</v>
      </c>
      <c r="H261">
        <v>35</v>
      </c>
      <c r="I261">
        <v>20</v>
      </c>
      <c r="J261">
        <v>10</v>
      </c>
      <c r="K261" t="s">
        <v>134</v>
      </c>
      <c r="L261" t="s">
        <v>135</v>
      </c>
      <c r="M261" t="s">
        <v>136</v>
      </c>
      <c r="N261" t="s">
        <v>140</v>
      </c>
      <c r="O261">
        <f>ROUND(($C261*Loss_Constants!$B$2+$D261*Loss_Constants!$B$3+$E261*Loss_Constants!$B$4+$F261*Loss_Constants!$B$5)/100,1)</f>
        <v>8.6</v>
      </c>
      <c r="P261">
        <f>ROUND(($G261*Loss_Constants!$E$2+$H261*Loss_Constants!$E$3+$I261*Loss_Constants!$E$4+$J261*Loss_Constants!$E$5)/100,1)</f>
        <v>3.6</v>
      </c>
      <c r="Q261">
        <f t="shared" si="4"/>
        <v>12.2</v>
      </c>
      <c r="R261" t="s">
        <v>11</v>
      </c>
      <c r="S261" t="s">
        <v>12</v>
      </c>
    </row>
    <row r="262" spans="1:19">
      <c r="A262">
        <v>261</v>
      </c>
      <c r="B262" t="s">
        <v>104</v>
      </c>
      <c r="C262">
        <v>25</v>
      </c>
      <c r="D262">
        <v>5</v>
      </c>
      <c r="E262">
        <v>0</v>
      </c>
      <c r="F262">
        <v>70</v>
      </c>
      <c r="G262">
        <v>20</v>
      </c>
      <c r="H262">
        <v>15</v>
      </c>
      <c r="I262">
        <v>30</v>
      </c>
      <c r="J262">
        <v>35</v>
      </c>
      <c r="K262" t="s">
        <v>134</v>
      </c>
      <c r="L262" t="s">
        <v>185</v>
      </c>
      <c r="M262" t="s">
        <v>179</v>
      </c>
      <c r="N262" t="s">
        <v>150</v>
      </c>
      <c r="O262">
        <f>ROUND(($C262*Loss_Constants!$B$2+$D262*Loss_Constants!$B$3+$E262*Loss_Constants!$B$4+$F262*Loss_Constants!$B$5)/100,1)</f>
        <v>15.8</v>
      </c>
      <c r="P262">
        <f>ROUND(($G262*Loss_Constants!$E$2+$H262*Loss_Constants!$E$3+$I262*Loss_Constants!$E$4+$J262*Loss_Constants!$E$5)/100,1)</f>
        <v>6</v>
      </c>
      <c r="Q262">
        <f t="shared" si="4"/>
        <v>21.8</v>
      </c>
      <c r="R262" t="s">
        <v>23</v>
      </c>
      <c r="S262" t="s">
        <v>24</v>
      </c>
    </row>
    <row r="263" spans="1:19">
      <c r="A263">
        <v>262</v>
      </c>
      <c r="B263" t="s">
        <v>105</v>
      </c>
      <c r="C263">
        <v>25</v>
      </c>
      <c r="D263">
        <v>5</v>
      </c>
      <c r="E263">
        <v>0</v>
      </c>
      <c r="F263">
        <v>70</v>
      </c>
      <c r="G263">
        <v>20</v>
      </c>
      <c r="H263">
        <v>15</v>
      </c>
      <c r="I263">
        <v>30</v>
      </c>
      <c r="J263">
        <v>35</v>
      </c>
      <c r="K263" t="s">
        <v>134</v>
      </c>
      <c r="L263" t="s">
        <v>185</v>
      </c>
      <c r="M263" t="s">
        <v>179</v>
      </c>
      <c r="N263" t="s">
        <v>150</v>
      </c>
      <c r="O263">
        <f>ROUND(($C263*Loss_Constants!$B$2+$D263*Loss_Constants!$B$3+$E263*Loss_Constants!$B$4+$F263*Loss_Constants!$B$5)/100,1)</f>
        <v>15.8</v>
      </c>
      <c r="P263">
        <f>ROUND(($G263*Loss_Constants!$E$2+$H263*Loss_Constants!$E$3+$I263*Loss_Constants!$E$4+$J263*Loss_Constants!$E$5)/100,1)</f>
        <v>6</v>
      </c>
      <c r="Q263">
        <f t="shared" si="4"/>
        <v>21.8</v>
      </c>
      <c r="R263" t="s">
        <v>23</v>
      </c>
      <c r="S263" t="s">
        <v>24</v>
      </c>
    </row>
    <row r="264" spans="1:19">
      <c r="A264">
        <v>263</v>
      </c>
      <c r="B264" t="s">
        <v>417</v>
      </c>
      <c r="C264">
        <v>30</v>
      </c>
      <c r="D264">
        <v>5</v>
      </c>
      <c r="E264">
        <v>0</v>
      </c>
      <c r="F264">
        <v>65</v>
      </c>
      <c r="G264">
        <v>15</v>
      </c>
      <c r="H264">
        <v>15</v>
      </c>
      <c r="I264">
        <v>35</v>
      </c>
      <c r="J264">
        <v>35</v>
      </c>
      <c r="K264" t="s">
        <v>134</v>
      </c>
      <c r="L264" t="s">
        <v>220</v>
      </c>
      <c r="M264" t="s">
        <v>179</v>
      </c>
      <c r="N264" t="s">
        <v>150</v>
      </c>
      <c r="O264">
        <f>ROUND(($C264*Loss_Constants!$B$2+$D264*Loss_Constants!$B$3+$E264*Loss_Constants!$B$4+$F264*Loss_Constants!$B$5)/100,1)</f>
        <v>15.5</v>
      </c>
      <c r="P264">
        <f>ROUND(($G264*Loss_Constants!$E$2+$H264*Loss_Constants!$E$3+$I264*Loss_Constants!$E$4+$J264*Loss_Constants!$E$5)/100,1)</f>
        <v>6.2</v>
      </c>
      <c r="Q264">
        <f t="shared" si="4"/>
        <v>21.7</v>
      </c>
      <c r="R264" t="s">
        <v>17</v>
      </c>
      <c r="S264" t="s">
        <v>18</v>
      </c>
    </row>
    <row r="265" spans="1:19">
      <c r="A265">
        <v>264</v>
      </c>
      <c r="B265" t="s">
        <v>97</v>
      </c>
      <c r="C265">
        <v>25</v>
      </c>
      <c r="D265">
        <v>5</v>
      </c>
      <c r="E265">
        <v>0</v>
      </c>
      <c r="F265">
        <v>70</v>
      </c>
      <c r="G265">
        <v>15</v>
      </c>
      <c r="H265">
        <v>15</v>
      </c>
      <c r="I265">
        <v>30</v>
      </c>
      <c r="J265">
        <v>40</v>
      </c>
      <c r="K265" t="s">
        <v>147</v>
      </c>
      <c r="L265" t="s">
        <v>185</v>
      </c>
      <c r="M265" t="s">
        <v>179</v>
      </c>
      <c r="N265" t="s">
        <v>150</v>
      </c>
      <c r="O265">
        <f>ROUND(($C265*Loss_Constants!$B$2+$D265*Loss_Constants!$B$3+$E265*Loss_Constants!$B$4+$F265*Loss_Constants!$B$5)/100,1)</f>
        <v>15.8</v>
      </c>
      <c r="P265">
        <f>ROUND(($G265*Loss_Constants!$E$2+$H265*Loss_Constants!$E$3+$I265*Loss_Constants!$E$4+$J265*Loss_Constants!$E$5)/100,1)</f>
        <v>6.4</v>
      </c>
      <c r="Q265">
        <f t="shared" si="4"/>
        <v>22.2</v>
      </c>
      <c r="R265" t="s">
        <v>75</v>
      </c>
      <c r="S265" t="s">
        <v>76</v>
      </c>
    </row>
    <row r="266" spans="1:19">
      <c r="A266">
        <v>265</v>
      </c>
      <c r="B266" t="s">
        <v>106</v>
      </c>
      <c r="C266">
        <v>25</v>
      </c>
      <c r="D266">
        <v>5</v>
      </c>
      <c r="E266">
        <v>0</v>
      </c>
      <c r="F266">
        <v>70</v>
      </c>
      <c r="G266">
        <v>20</v>
      </c>
      <c r="H266">
        <v>15</v>
      </c>
      <c r="I266">
        <v>30</v>
      </c>
      <c r="J266">
        <v>35</v>
      </c>
      <c r="K266" t="s">
        <v>134</v>
      </c>
      <c r="L266" t="s">
        <v>185</v>
      </c>
      <c r="M266" t="s">
        <v>179</v>
      </c>
      <c r="N266" t="s">
        <v>150</v>
      </c>
      <c r="O266">
        <f>ROUND(($C266*Loss_Constants!$B$2+$D266*Loss_Constants!$B$3+$E266*Loss_Constants!$B$4+$F266*Loss_Constants!$B$5)/100,1)</f>
        <v>15.8</v>
      </c>
      <c r="P266">
        <f>ROUND(($G266*Loss_Constants!$E$2+$H266*Loss_Constants!$E$3+$I266*Loss_Constants!$E$4+$J266*Loss_Constants!$E$5)/100,1)</f>
        <v>6</v>
      </c>
      <c r="Q266">
        <f t="shared" si="4"/>
        <v>21.8</v>
      </c>
      <c r="R266" t="s">
        <v>23</v>
      </c>
      <c r="S266" t="s">
        <v>24</v>
      </c>
    </row>
    <row r="267" spans="1:19">
      <c r="A267">
        <v>266</v>
      </c>
      <c r="B267" t="s">
        <v>107</v>
      </c>
      <c r="C267">
        <v>25</v>
      </c>
      <c r="D267">
        <v>5</v>
      </c>
      <c r="E267">
        <v>0</v>
      </c>
      <c r="F267">
        <v>70</v>
      </c>
      <c r="G267">
        <v>20</v>
      </c>
      <c r="H267">
        <v>15</v>
      </c>
      <c r="I267">
        <v>30</v>
      </c>
      <c r="J267">
        <v>35</v>
      </c>
      <c r="K267" t="s">
        <v>134</v>
      </c>
      <c r="L267" t="s">
        <v>185</v>
      </c>
      <c r="M267" t="s">
        <v>179</v>
      </c>
      <c r="N267" t="s">
        <v>150</v>
      </c>
      <c r="O267">
        <f>ROUND(($C267*Loss_Constants!$B$2+$D267*Loss_Constants!$B$3+$E267*Loss_Constants!$B$4+$F267*Loss_Constants!$B$5)/100,1)</f>
        <v>15.8</v>
      </c>
      <c r="P267">
        <f>ROUND(($G267*Loss_Constants!$E$2+$H267*Loss_Constants!$E$3+$I267*Loss_Constants!$E$4+$J267*Loss_Constants!$E$5)/100,1)</f>
        <v>6</v>
      </c>
      <c r="Q267">
        <f t="shared" si="4"/>
        <v>21.8</v>
      </c>
      <c r="R267" t="s">
        <v>23</v>
      </c>
      <c r="S267" t="s">
        <v>24</v>
      </c>
    </row>
    <row r="268" spans="1:19">
      <c r="A268">
        <v>267</v>
      </c>
      <c r="B268" t="s">
        <v>98</v>
      </c>
      <c r="C268">
        <v>25</v>
      </c>
      <c r="D268">
        <v>5</v>
      </c>
      <c r="E268">
        <v>0</v>
      </c>
      <c r="F268">
        <v>70</v>
      </c>
      <c r="G268">
        <v>15</v>
      </c>
      <c r="H268">
        <v>15</v>
      </c>
      <c r="I268">
        <v>30</v>
      </c>
      <c r="J268">
        <v>40</v>
      </c>
      <c r="K268" t="s">
        <v>147</v>
      </c>
      <c r="L268" t="s">
        <v>185</v>
      </c>
      <c r="M268" t="s">
        <v>179</v>
      </c>
      <c r="N268" t="s">
        <v>150</v>
      </c>
      <c r="O268">
        <f>ROUND(($C268*Loss_Constants!$B$2+$D268*Loss_Constants!$B$3+$E268*Loss_Constants!$B$4+$F268*Loss_Constants!$B$5)/100,1)</f>
        <v>15.8</v>
      </c>
      <c r="P268">
        <f>ROUND(($G268*Loss_Constants!$E$2+$H268*Loss_Constants!$E$3+$I268*Loss_Constants!$E$4+$J268*Loss_Constants!$E$5)/100,1)</f>
        <v>6.4</v>
      </c>
      <c r="Q268">
        <f t="shared" si="4"/>
        <v>22.2</v>
      </c>
      <c r="R268" t="s">
        <v>75</v>
      </c>
      <c r="S268" t="s">
        <v>76</v>
      </c>
    </row>
    <row r="269" spans="1:19">
      <c r="A269">
        <v>268</v>
      </c>
      <c r="B269" t="s">
        <v>99</v>
      </c>
      <c r="C269">
        <v>25</v>
      </c>
      <c r="D269">
        <v>5</v>
      </c>
      <c r="E269">
        <v>0</v>
      </c>
      <c r="F269">
        <v>70</v>
      </c>
      <c r="G269">
        <v>15</v>
      </c>
      <c r="H269">
        <v>15</v>
      </c>
      <c r="I269">
        <v>30</v>
      </c>
      <c r="J269">
        <v>40</v>
      </c>
      <c r="K269" t="s">
        <v>147</v>
      </c>
      <c r="L269" t="s">
        <v>185</v>
      </c>
      <c r="M269" t="s">
        <v>179</v>
      </c>
      <c r="N269" t="s">
        <v>150</v>
      </c>
      <c r="O269">
        <f>ROUND(($C269*Loss_Constants!$B$2+$D269*Loss_Constants!$B$3+$E269*Loss_Constants!$B$4+$F269*Loss_Constants!$B$5)/100,1)</f>
        <v>15.8</v>
      </c>
      <c r="P269">
        <f>ROUND(($G269*Loss_Constants!$E$2+$H269*Loss_Constants!$E$3+$I269*Loss_Constants!$E$4+$J269*Loss_Constants!$E$5)/100,1)</f>
        <v>6.4</v>
      </c>
      <c r="Q269">
        <f t="shared" si="4"/>
        <v>22.2</v>
      </c>
      <c r="R269" t="s">
        <v>75</v>
      </c>
      <c r="S269" t="s">
        <v>76</v>
      </c>
    </row>
    <row r="270" spans="1:19">
      <c r="A270">
        <v>269</v>
      </c>
      <c r="B270" t="s">
        <v>108</v>
      </c>
      <c r="C270">
        <v>25</v>
      </c>
      <c r="D270">
        <v>5</v>
      </c>
      <c r="E270">
        <v>0</v>
      </c>
      <c r="F270">
        <v>70</v>
      </c>
      <c r="G270">
        <v>20</v>
      </c>
      <c r="H270">
        <v>15</v>
      </c>
      <c r="I270">
        <v>30</v>
      </c>
      <c r="J270">
        <v>35</v>
      </c>
      <c r="K270" t="s">
        <v>134</v>
      </c>
      <c r="L270" t="s">
        <v>185</v>
      </c>
      <c r="M270" t="s">
        <v>179</v>
      </c>
      <c r="N270" t="s">
        <v>150</v>
      </c>
      <c r="O270">
        <f>ROUND(($C270*Loss_Constants!$B$2+$D270*Loss_Constants!$B$3+$E270*Loss_Constants!$B$4+$F270*Loss_Constants!$B$5)/100,1)</f>
        <v>15.8</v>
      </c>
      <c r="P270">
        <f>ROUND(($G270*Loss_Constants!$E$2+$H270*Loss_Constants!$E$3+$I270*Loss_Constants!$E$4+$J270*Loss_Constants!$E$5)/100,1)</f>
        <v>6</v>
      </c>
      <c r="Q270">
        <f t="shared" si="4"/>
        <v>21.8</v>
      </c>
      <c r="R270" t="s">
        <v>23</v>
      </c>
      <c r="S270" t="s">
        <v>24</v>
      </c>
    </row>
    <row r="271" spans="1:19">
      <c r="A271">
        <v>270</v>
      </c>
      <c r="B271" t="s">
        <v>418</v>
      </c>
      <c r="C271">
        <v>15</v>
      </c>
      <c r="D271">
        <v>55</v>
      </c>
      <c r="E271">
        <v>20</v>
      </c>
      <c r="F271">
        <v>10</v>
      </c>
      <c r="G271">
        <v>45</v>
      </c>
      <c r="H271">
        <v>35</v>
      </c>
      <c r="I271">
        <v>15</v>
      </c>
      <c r="J271">
        <v>5</v>
      </c>
      <c r="K271" t="s">
        <v>134</v>
      </c>
      <c r="L271" t="s">
        <v>135</v>
      </c>
      <c r="M271" t="s">
        <v>136</v>
      </c>
      <c r="N271" t="s">
        <v>137</v>
      </c>
      <c r="O271">
        <f>ROUND(($C271*Loss_Constants!$B$2+$D271*Loss_Constants!$B$3+$E271*Loss_Constants!$B$4+$F271*Loss_Constants!$B$5)/100,1)</f>
        <v>6.4</v>
      </c>
      <c r="P271">
        <f>ROUND(($G271*Loss_Constants!$E$2+$H271*Loss_Constants!$E$3+$I271*Loss_Constants!$E$4+$J271*Loss_Constants!$E$5)/100,1)</f>
        <v>2.9</v>
      </c>
      <c r="Q271">
        <f t="shared" si="4"/>
        <v>9.3000000000000007</v>
      </c>
      <c r="R271" t="s">
        <v>1</v>
      </c>
      <c r="S271" t="s">
        <v>2</v>
      </c>
    </row>
    <row r="272" spans="1:19">
      <c r="A272">
        <v>271</v>
      </c>
      <c r="B272" t="s">
        <v>419</v>
      </c>
      <c r="C272">
        <v>20</v>
      </c>
      <c r="D272">
        <v>10</v>
      </c>
      <c r="E272">
        <v>5</v>
      </c>
      <c r="F272">
        <v>65</v>
      </c>
      <c r="G272">
        <v>25</v>
      </c>
      <c r="H272">
        <v>20</v>
      </c>
      <c r="I272">
        <v>35</v>
      </c>
      <c r="J272">
        <v>20</v>
      </c>
      <c r="K272" t="s">
        <v>172</v>
      </c>
      <c r="L272" t="s">
        <v>148</v>
      </c>
      <c r="M272" t="s">
        <v>149</v>
      </c>
      <c r="N272" t="s">
        <v>140</v>
      </c>
      <c r="O272">
        <f>ROUND(($C272*Loss_Constants!$B$2+$D272*Loss_Constants!$B$3+$E272*Loss_Constants!$B$4+$F272*Loss_Constants!$B$5)/100,1)</f>
        <v>14.7</v>
      </c>
      <c r="P272">
        <f>ROUND(($G272*Loss_Constants!$E$2+$H272*Loss_Constants!$E$3+$I272*Loss_Constants!$E$4+$J272*Loss_Constants!$E$5)/100,1)</f>
        <v>5</v>
      </c>
      <c r="Q272">
        <f t="shared" si="4"/>
        <v>19.7</v>
      </c>
      <c r="R272" t="s">
        <v>89</v>
      </c>
      <c r="S272" t="s">
        <v>90</v>
      </c>
    </row>
    <row r="273" spans="1:19">
      <c r="A273">
        <v>272</v>
      </c>
      <c r="B273" t="s">
        <v>420</v>
      </c>
      <c r="C273">
        <v>25</v>
      </c>
      <c r="D273">
        <v>10</v>
      </c>
      <c r="E273">
        <v>0</v>
      </c>
      <c r="F273">
        <v>65</v>
      </c>
      <c r="G273">
        <v>10</v>
      </c>
      <c r="H273">
        <v>20</v>
      </c>
      <c r="I273">
        <v>30</v>
      </c>
      <c r="J273">
        <v>40</v>
      </c>
      <c r="K273" t="s">
        <v>147</v>
      </c>
      <c r="L273" t="s">
        <v>148</v>
      </c>
      <c r="M273" t="s">
        <v>149</v>
      </c>
      <c r="N273" t="s">
        <v>150</v>
      </c>
      <c r="O273">
        <f>ROUND(($C273*Loss_Constants!$B$2+$D273*Loss_Constants!$B$3+$E273*Loss_Constants!$B$4+$F273*Loss_Constants!$B$5)/100,1)</f>
        <v>15.1</v>
      </c>
      <c r="P273">
        <f>ROUND(($G273*Loss_Constants!$E$2+$H273*Loss_Constants!$E$3+$I273*Loss_Constants!$E$4+$J273*Loss_Constants!$E$5)/100,1)</f>
        <v>6.5</v>
      </c>
      <c r="Q273">
        <f t="shared" si="4"/>
        <v>21.6</v>
      </c>
      <c r="R273" t="s">
        <v>49</v>
      </c>
      <c r="S273" t="s">
        <v>50</v>
      </c>
    </row>
    <row r="274" spans="1:19">
      <c r="A274">
        <v>273</v>
      </c>
      <c r="B274" t="s">
        <v>109</v>
      </c>
      <c r="C274">
        <v>25</v>
      </c>
      <c r="D274">
        <v>5</v>
      </c>
      <c r="E274">
        <v>0</v>
      </c>
      <c r="F274">
        <v>70</v>
      </c>
      <c r="G274">
        <v>20</v>
      </c>
      <c r="H274">
        <v>15</v>
      </c>
      <c r="I274">
        <v>30</v>
      </c>
      <c r="J274">
        <v>35</v>
      </c>
      <c r="K274" t="s">
        <v>134</v>
      </c>
      <c r="L274" t="s">
        <v>185</v>
      </c>
      <c r="M274" t="s">
        <v>179</v>
      </c>
      <c r="N274" t="s">
        <v>150</v>
      </c>
      <c r="O274">
        <f>ROUND(($C274*Loss_Constants!$B$2+$D274*Loss_Constants!$B$3+$E274*Loss_Constants!$B$4+$F274*Loss_Constants!$B$5)/100,1)</f>
        <v>15.8</v>
      </c>
      <c r="P274">
        <f>ROUND(($G274*Loss_Constants!$E$2+$H274*Loss_Constants!$E$3+$I274*Loss_Constants!$E$4+$J274*Loss_Constants!$E$5)/100,1)</f>
        <v>6</v>
      </c>
      <c r="Q274">
        <f t="shared" si="4"/>
        <v>21.8</v>
      </c>
      <c r="R274" t="s">
        <v>23</v>
      </c>
      <c r="S274" t="s">
        <v>24</v>
      </c>
    </row>
    <row r="275" spans="1:19">
      <c r="A275">
        <v>274</v>
      </c>
      <c r="B275" t="s">
        <v>421</v>
      </c>
      <c r="C275">
        <v>30</v>
      </c>
      <c r="D275">
        <v>5</v>
      </c>
      <c r="E275">
        <v>0</v>
      </c>
      <c r="F275">
        <v>65</v>
      </c>
      <c r="G275">
        <v>15</v>
      </c>
      <c r="H275">
        <v>15</v>
      </c>
      <c r="I275">
        <v>35</v>
      </c>
      <c r="J275">
        <v>35</v>
      </c>
      <c r="K275" t="s">
        <v>134</v>
      </c>
      <c r="L275" t="s">
        <v>220</v>
      </c>
      <c r="M275" t="s">
        <v>179</v>
      </c>
      <c r="N275" t="s">
        <v>150</v>
      </c>
      <c r="O275">
        <f>ROUND(($C275*Loss_Constants!$B$2+$D275*Loss_Constants!$B$3+$E275*Loss_Constants!$B$4+$F275*Loss_Constants!$B$5)/100,1)</f>
        <v>15.5</v>
      </c>
      <c r="P275">
        <f>ROUND(($G275*Loss_Constants!$E$2+$H275*Loss_Constants!$E$3+$I275*Loss_Constants!$E$4+$J275*Loss_Constants!$E$5)/100,1)</f>
        <v>6.2</v>
      </c>
      <c r="Q275">
        <f t="shared" si="4"/>
        <v>21.7</v>
      </c>
      <c r="R275" t="s">
        <v>17</v>
      </c>
      <c r="S275" t="s">
        <v>18</v>
      </c>
    </row>
    <row r="276" spans="1:19">
      <c r="A276">
        <v>275</v>
      </c>
      <c r="B276" t="s">
        <v>100</v>
      </c>
      <c r="C276">
        <v>25</v>
      </c>
      <c r="D276">
        <v>5</v>
      </c>
      <c r="E276">
        <v>0</v>
      </c>
      <c r="F276">
        <v>70</v>
      </c>
      <c r="G276">
        <v>15</v>
      </c>
      <c r="H276">
        <v>15</v>
      </c>
      <c r="I276">
        <v>30</v>
      </c>
      <c r="J276">
        <v>40</v>
      </c>
      <c r="K276" t="s">
        <v>147</v>
      </c>
      <c r="L276" t="s">
        <v>185</v>
      </c>
      <c r="M276" t="s">
        <v>179</v>
      </c>
      <c r="N276" t="s">
        <v>150</v>
      </c>
      <c r="O276">
        <f>ROUND(($C276*Loss_Constants!$B$2+$D276*Loss_Constants!$B$3+$E276*Loss_Constants!$B$4+$F276*Loss_Constants!$B$5)/100,1)</f>
        <v>15.8</v>
      </c>
      <c r="P276">
        <f>ROUND(($G276*Loss_Constants!$E$2+$H276*Loss_Constants!$E$3+$I276*Loss_Constants!$E$4+$J276*Loss_Constants!$E$5)/100,1)</f>
        <v>6.4</v>
      </c>
      <c r="Q276">
        <f t="shared" si="4"/>
        <v>22.2</v>
      </c>
      <c r="R276" t="s">
        <v>75</v>
      </c>
      <c r="S276" t="s">
        <v>76</v>
      </c>
    </row>
    <row r="277" spans="1:19">
      <c r="A277">
        <v>276</v>
      </c>
      <c r="B277" t="s">
        <v>110</v>
      </c>
      <c r="C277">
        <v>25</v>
      </c>
      <c r="D277">
        <v>5</v>
      </c>
      <c r="E277">
        <v>0</v>
      </c>
      <c r="F277">
        <v>70</v>
      </c>
      <c r="G277">
        <v>20</v>
      </c>
      <c r="H277">
        <v>15</v>
      </c>
      <c r="I277">
        <v>30</v>
      </c>
      <c r="J277">
        <v>35</v>
      </c>
      <c r="K277" t="s">
        <v>134</v>
      </c>
      <c r="L277" t="s">
        <v>185</v>
      </c>
      <c r="M277" t="s">
        <v>179</v>
      </c>
      <c r="N277" t="s">
        <v>150</v>
      </c>
      <c r="O277">
        <f>ROUND(($C277*Loss_Constants!$B$2+$D277*Loss_Constants!$B$3+$E277*Loss_Constants!$B$4+$F277*Loss_Constants!$B$5)/100,1)</f>
        <v>15.8</v>
      </c>
      <c r="P277">
        <f>ROUND(($G277*Loss_Constants!$E$2+$H277*Loss_Constants!$E$3+$I277*Loss_Constants!$E$4+$J277*Loss_Constants!$E$5)/100,1)</f>
        <v>6</v>
      </c>
      <c r="Q277">
        <f t="shared" si="4"/>
        <v>21.8</v>
      </c>
      <c r="R277" t="s">
        <v>23</v>
      </c>
      <c r="S277" t="s">
        <v>24</v>
      </c>
    </row>
    <row r="278" spans="1:19">
      <c r="A278">
        <v>277</v>
      </c>
      <c r="B278" t="s">
        <v>422</v>
      </c>
      <c r="C278">
        <v>20</v>
      </c>
      <c r="D278">
        <v>10</v>
      </c>
      <c r="E278">
        <v>5</v>
      </c>
      <c r="F278">
        <v>65</v>
      </c>
      <c r="G278">
        <v>25</v>
      </c>
      <c r="H278">
        <v>20</v>
      </c>
      <c r="I278">
        <v>35</v>
      </c>
      <c r="J278">
        <v>20</v>
      </c>
      <c r="K278" t="s">
        <v>172</v>
      </c>
      <c r="L278" t="s">
        <v>148</v>
      </c>
      <c r="M278" t="s">
        <v>149</v>
      </c>
      <c r="N278" t="s">
        <v>140</v>
      </c>
      <c r="O278">
        <f>ROUND(($C278*Loss_Constants!$B$2+$D278*Loss_Constants!$B$3+$E278*Loss_Constants!$B$4+$F278*Loss_Constants!$B$5)/100,1)</f>
        <v>14.7</v>
      </c>
      <c r="P278">
        <f>ROUND(($G278*Loss_Constants!$E$2+$H278*Loss_Constants!$E$3+$I278*Loss_Constants!$E$4+$J278*Loss_Constants!$E$5)/100,1)</f>
        <v>5</v>
      </c>
      <c r="Q278">
        <f t="shared" si="4"/>
        <v>19.7</v>
      </c>
      <c r="R278" t="s">
        <v>89</v>
      </c>
      <c r="S278" t="s">
        <v>90</v>
      </c>
    </row>
    <row r="279" spans="1:19">
      <c r="A279">
        <v>278</v>
      </c>
      <c r="B279" t="s">
        <v>423</v>
      </c>
      <c r="C279">
        <v>25</v>
      </c>
      <c r="D279">
        <v>10</v>
      </c>
      <c r="E279">
        <v>0</v>
      </c>
      <c r="F279">
        <v>65</v>
      </c>
      <c r="G279">
        <v>10</v>
      </c>
      <c r="H279">
        <v>20</v>
      </c>
      <c r="I279">
        <v>30</v>
      </c>
      <c r="J279">
        <v>40</v>
      </c>
      <c r="K279" t="s">
        <v>147</v>
      </c>
      <c r="L279" t="s">
        <v>148</v>
      </c>
      <c r="M279" t="s">
        <v>149</v>
      </c>
      <c r="N279" t="s">
        <v>150</v>
      </c>
      <c r="O279">
        <f>ROUND(($C279*Loss_Constants!$B$2+$D279*Loss_Constants!$B$3+$E279*Loss_Constants!$B$4+$F279*Loss_Constants!$B$5)/100,1)</f>
        <v>15.1</v>
      </c>
      <c r="P279">
        <f>ROUND(($G279*Loss_Constants!$E$2+$H279*Loss_Constants!$E$3+$I279*Loss_Constants!$E$4+$J279*Loss_Constants!$E$5)/100,1)</f>
        <v>6.5</v>
      </c>
      <c r="Q279">
        <f t="shared" si="4"/>
        <v>21.6</v>
      </c>
      <c r="R279" t="s">
        <v>49</v>
      </c>
      <c r="S279" t="s">
        <v>50</v>
      </c>
    </row>
    <row r="280" spans="1:19">
      <c r="A280">
        <v>279</v>
      </c>
      <c r="B280" t="s">
        <v>424</v>
      </c>
      <c r="C280">
        <v>20</v>
      </c>
      <c r="D280">
        <v>25</v>
      </c>
      <c r="E280">
        <v>0</v>
      </c>
      <c r="F280">
        <v>55</v>
      </c>
      <c r="G280">
        <v>10</v>
      </c>
      <c r="H280">
        <v>25</v>
      </c>
      <c r="I280">
        <v>35</v>
      </c>
      <c r="J280">
        <v>30</v>
      </c>
      <c r="K280" t="s">
        <v>134</v>
      </c>
      <c r="L280" t="s">
        <v>148</v>
      </c>
      <c r="M280" t="s">
        <v>136</v>
      </c>
      <c r="N280" t="s">
        <v>137</v>
      </c>
      <c r="O280">
        <f>ROUND(($C280*Loss_Constants!$B$2+$D280*Loss_Constants!$B$3+$E280*Loss_Constants!$B$4+$F280*Loss_Constants!$B$5)/100,1)</f>
        <v>13.3</v>
      </c>
      <c r="P280">
        <f>ROUND(($G280*Loss_Constants!$E$2+$H280*Loss_Constants!$E$3+$I280*Loss_Constants!$E$4+$J280*Loss_Constants!$E$5)/100,1)</f>
        <v>6</v>
      </c>
      <c r="Q280">
        <f t="shared" si="4"/>
        <v>19.3</v>
      </c>
      <c r="R280" t="s">
        <v>87</v>
      </c>
      <c r="S280" t="s">
        <v>88</v>
      </c>
    </row>
    <row r="281" spans="1:19">
      <c r="A281">
        <v>280</v>
      </c>
      <c r="B281" t="s">
        <v>111</v>
      </c>
      <c r="C281">
        <v>25</v>
      </c>
      <c r="D281">
        <v>5</v>
      </c>
      <c r="E281">
        <v>0</v>
      </c>
      <c r="F281">
        <v>70</v>
      </c>
      <c r="G281">
        <v>20</v>
      </c>
      <c r="H281">
        <v>15</v>
      </c>
      <c r="I281">
        <v>30</v>
      </c>
      <c r="J281">
        <v>35</v>
      </c>
      <c r="K281" t="s">
        <v>134</v>
      </c>
      <c r="L281" t="s">
        <v>185</v>
      </c>
      <c r="M281" t="s">
        <v>179</v>
      </c>
      <c r="N281" t="s">
        <v>150</v>
      </c>
      <c r="O281">
        <f>ROUND(($C281*Loss_Constants!$B$2+$D281*Loss_Constants!$B$3+$E281*Loss_Constants!$B$4+$F281*Loss_Constants!$B$5)/100,1)</f>
        <v>15.8</v>
      </c>
      <c r="P281">
        <f>ROUND(($G281*Loss_Constants!$E$2+$H281*Loss_Constants!$E$3+$I281*Loss_Constants!$E$4+$J281*Loss_Constants!$E$5)/100,1)</f>
        <v>6</v>
      </c>
      <c r="Q281">
        <f t="shared" si="4"/>
        <v>21.8</v>
      </c>
      <c r="R281" t="s">
        <v>23</v>
      </c>
      <c r="S281" t="s">
        <v>24</v>
      </c>
    </row>
    <row r="282" spans="1:19">
      <c r="A282">
        <v>281</v>
      </c>
      <c r="B282" t="s">
        <v>112</v>
      </c>
      <c r="C282">
        <v>25</v>
      </c>
      <c r="D282">
        <v>5</v>
      </c>
      <c r="E282">
        <v>0</v>
      </c>
      <c r="F282">
        <v>70</v>
      </c>
      <c r="G282">
        <v>20</v>
      </c>
      <c r="H282">
        <v>15</v>
      </c>
      <c r="I282">
        <v>30</v>
      </c>
      <c r="J282">
        <v>35</v>
      </c>
      <c r="K282" t="s">
        <v>134</v>
      </c>
      <c r="L282" t="s">
        <v>185</v>
      </c>
      <c r="M282" t="s">
        <v>179</v>
      </c>
      <c r="N282" t="s">
        <v>150</v>
      </c>
      <c r="O282">
        <f>ROUND(($C282*Loss_Constants!$B$2+$D282*Loss_Constants!$B$3+$E282*Loss_Constants!$B$4+$F282*Loss_Constants!$B$5)/100,1)</f>
        <v>15.8</v>
      </c>
      <c r="P282">
        <f>ROUND(($G282*Loss_Constants!$E$2+$H282*Loss_Constants!$E$3+$I282*Loss_Constants!$E$4+$J282*Loss_Constants!$E$5)/100,1)</f>
        <v>6</v>
      </c>
      <c r="Q282">
        <f t="shared" si="4"/>
        <v>21.8</v>
      </c>
      <c r="R282" t="s">
        <v>23</v>
      </c>
      <c r="S282" t="s">
        <v>24</v>
      </c>
    </row>
    <row r="283" spans="1:19">
      <c r="A283">
        <v>282</v>
      </c>
      <c r="B283" t="s">
        <v>425</v>
      </c>
      <c r="C283">
        <v>30</v>
      </c>
      <c r="D283">
        <v>5</v>
      </c>
      <c r="E283">
        <v>0</v>
      </c>
      <c r="F283">
        <v>65</v>
      </c>
      <c r="G283">
        <v>15</v>
      </c>
      <c r="H283">
        <v>15</v>
      </c>
      <c r="I283">
        <v>35</v>
      </c>
      <c r="J283">
        <v>35</v>
      </c>
      <c r="K283" t="s">
        <v>134</v>
      </c>
      <c r="L283" t="s">
        <v>220</v>
      </c>
      <c r="M283" t="s">
        <v>179</v>
      </c>
      <c r="N283" t="s">
        <v>150</v>
      </c>
      <c r="O283">
        <f>ROUND(($C283*Loss_Constants!$B$2+$D283*Loss_Constants!$B$3+$E283*Loss_Constants!$B$4+$F283*Loss_Constants!$B$5)/100,1)</f>
        <v>15.5</v>
      </c>
      <c r="P283">
        <f>ROUND(($G283*Loss_Constants!$E$2+$H283*Loss_Constants!$E$3+$I283*Loss_Constants!$E$4+$J283*Loss_Constants!$E$5)/100,1)</f>
        <v>6.2</v>
      </c>
      <c r="Q283">
        <f t="shared" si="4"/>
        <v>21.7</v>
      </c>
      <c r="R283" t="s">
        <v>17</v>
      </c>
      <c r="S283" t="s">
        <v>18</v>
      </c>
    </row>
    <row r="284" spans="1:19">
      <c r="A284">
        <v>283</v>
      </c>
      <c r="B284" t="s">
        <v>101</v>
      </c>
      <c r="C284">
        <v>25</v>
      </c>
      <c r="D284">
        <v>5</v>
      </c>
      <c r="E284">
        <v>0</v>
      </c>
      <c r="F284">
        <v>70</v>
      </c>
      <c r="G284">
        <v>15</v>
      </c>
      <c r="H284">
        <v>15</v>
      </c>
      <c r="I284">
        <v>30</v>
      </c>
      <c r="J284">
        <v>40</v>
      </c>
      <c r="K284" t="s">
        <v>147</v>
      </c>
      <c r="L284" t="s">
        <v>185</v>
      </c>
      <c r="M284" t="s">
        <v>179</v>
      </c>
      <c r="N284" t="s">
        <v>150</v>
      </c>
      <c r="O284">
        <f>ROUND(($C284*Loss_Constants!$B$2+$D284*Loss_Constants!$B$3+$E284*Loss_Constants!$B$4+$F284*Loss_Constants!$B$5)/100,1)</f>
        <v>15.8</v>
      </c>
      <c r="P284">
        <f>ROUND(($G284*Loss_Constants!$E$2+$H284*Loss_Constants!$E$3+$I284*Loss_Constants!$E$4+$J284*Loss_Constants!$E$5)/100,1)</f>
        <v>6.4</v>
      </c>
      <c r="Q284">
        <f t="shared" si="4"/>
        <v>22.2</v>
      </c>
      <c r="R284" t="s">
        <v>75</v>
      </c>
      <c r="S284" t="s">
        <v>76</v>
      </c>
    </row>
    <row r="285" spans="1:19">
      <c r="A285">
        <v>284</v>
      </c>
      <c r="B285" t="s">
        <v>426</v>
      </c>
      <c r="C285">
        <v>20</v>
      </c>
      <c r="D285">
        <v>10</v>
      </c>
      <c r="E285">
        <v>5</v>
      </c>
      <c r="F285">
        <v>65</v>
      </c>
      <c r="G285">
        <v>25</v>
      </c>
      <c r="H285">
        <v>25</v>
      </c>
      <c r="I285">
        <v>30</v>
      </c>
      <c r="J285">
        <v>20</v>
      </c>
      <c r="K285" t="s">
        <v>172</v>
      </c>
      <c r="L285" t="s">
        <v>148</v>
      </c>
      <c r="M285" t="s">
        <v>149</v>
      </c>
      <c r="N285" t="s">
        <v>137</v>
      </c>
      <c r="O285">
        <f>ROUND(($C285*Loss_Constants!$B$2+$D285*Loss_Constants!$B$3+$E285*Loss_Constants!$B$4+$F285*Loss_Constants!$B$5)/100,1)</f>
        <v>14.7</v>
      </c>
      <c r="P285">
        <f>ROUND(($G285*Loss_Constants!$E$2+$H285*Loss_Constants!$E$3+$I285*Loss_Constants!$E$4+$J285*Loss_Constants!$E$5)/100,1)</f>
        <v>4.8</v>
      </c>
      <c r="Q285">
        <f t="shared" si="4"/>
        <v>19.5</v>
      </c>
      <c r="R285" t="s">
        <v>91</v>
      </c>
      <c r="S285" t="s">
        <v>92</v>
      </c>
    </row>
    <row r="286" spans="1:19">
      <c r="A286">
        <v>285</v>
      </c>
      <c r="B286" t="s">
        <v>427</v>
      </c>
      <c r="C286">
        <v>20</v>
      </c>
      <c r="D286">
        <v>25</v>
      </c>
      <c r="E286">
        <v>0</v>
      </c>
      <c r="F286">
        <v>55</v>
      </c>
      <c r="G286">
        <v>10</v>
      </c>
      <c r="H286">
        <v>25</v>
      </c>
      <c r="I286">
        <v>35</v>
      </c>
      <c r="J286">
        <v>30</v>
      </c>
      <c r="K286" t="s">
        <v>134</v>
      </c>
      <c r="L286" t="s">
        <v>148</v>
      </c>
      <c r="M286" t="s">
        <v>136</v>
      </c>
      <c r="N286" t="s">
        <v>137</v>
      </c>
      <c r="O286">
        <f>ROUND(($C286*Loss_Constants!$B$2+$D286*Loss_Constants!$B$3+$E286*Loss_Constants!$B$4+$F286*Loss_Constants!$B$5)/100,1)</f>
        <v>13.3</v>
      </c>
      <c r="P286">
        <f>ROUND(($G286*Loss_Constants!$E$2+$H286*Loss_Constants!$E$3+$I286*Loss_Constants!$E$4+$J286*Loss_Constants!$E$5)/100,1)</f>
        <v>6</v>
      </c>
      <c r="Q286">
        <f t="shared" si="4"/>
        <v>19.3</v>
      </c>
      <c r="R286" t="s">
        <v>87</v>
      </c>
      <c r="S286" t="s">
        <v>88</v>
      </c>
    </row>
    <row r="287" spans="1:19">
      <c r="A287">
        <v>286</v>
      </c>
      <c r="B287" t="s">
        <v>113</v>
      </c>
      <c r="C287">
        <v>25</v>
      </c>
      <c r="D287">
        <v>5</v>
      </c>
      <c r="E287">
        <v>0</v>
      </c>
      <c r="F287">
        <v>70</v>
      </c>
      <c r="G287">
        <v>20</v>
      </c>
      <c r="H287">
        <v>15</v>
      </c>
      <c r="I287">
        <v>30</v>
      </c>
      <c r="J287">
        <v>35</v>
      </c>
      <c r="K287" t="s">
        <v>134</v>
      </c>
      <c r="L287" t="s">
        <v>185</v>
      </c>
      <c r="M287" t="s">
        <v>179</v>
      </c>
      <c r="N287" t="s">
        <v>150</v>
      </c>
      <c r="O287">
        <f>ROUND(($C287*Loss_Constants!$B$2+$D287*Loss_Constants!$B$3+$E287*Loss_Constants!$B$4+$F287*Loss_Constants!$B$5)/100,1)</f>
        <v>15.8</v>
      </c>
      <c r="P287">
        <f>ROUND(($G287*Loss_Constants!$E$2+$H287*Loss_Constants!$E$3+$I287*Loss_Constants!$E$4+$J287*Loss_Constants!$E$5)/100,1)</f>
        <v>6</v>
      </c>
      <c r="Q287">
        <f t="shared" si="4"/>
        <v>21.8</v>
      </c>
      <c r="R287" t="s">
        <v>23</v>
      </c>
      <c r="S287" t="s">
        <v>24</v>
      </c>
    </row>
    <row r="288" spans="1:19">
      <c r="A288">
        <v>287</v>
      </c>
      <c r="B288" t="s">
        <v>114</v>
      </c>
      <c r="C288">
        <v>25</v>
      </c>
      <c r="D288">
        <v>5</v>
      </c>
      <c r="E288">
        <v>0</v>
      </c>
      <c r="F288">
        <v>70</v>
      </c>
      <c r="G288">
        <v>20</v>
      </c>
      <c r="H288">
        <v>15</v>
      </c>
      <c r="I288">
        <v>30</v>
      </c>
      <c r="J288">
        <v>35</v>
      </c>
      <c r="K288" t="s">
        <v>134</v>
      </c>
      <c r="L288" t="s">
        <v>185</v>
      </c>
      <c r="M288" t="s">
        <v>179</v>
      </c>
      <c r="N288" t="s">
        <v>150</v>
      </c>
      <c r="O288">
        <f>ROUND(($C288*Loss_Constants!$B$2+$D288*Loss_Constants!$B$3+$E288*Loss_Constants!$B$4+$F288*Loss_Constants!$B$5)/100,1)</f>
        <v>15.8</v>
      </c>
      <c r="P288">
        <f>ROUND(($G288*Loss_Constants!$E$2+$H288*Loss_Constants!$E$3+$I288*Loss_Constants!$E$4+$J288*Loss_Constants!$E$5)/100,1)</f>
        <v>6</v>
      </c>
      <c r="Q288">
        <f t="shared" si="4"/>
        <v>21.8</v>
      </c>
      <c r="R288" t="s">
        <v>23</v>
      </c>
      <c r="S288" t="s">
        <v>24</v>
      </c>
    </row>
    <row r="289" spans="1:19">
      <c r="A289">
        <v>288</v>
      </c>
      <c r="B289" t="s">
        <v>102</v>
      </c>
      <c r="C289">
        <v>25</v>
      </c>
      <c r="D289">
        <v>5</v>
      </c>
      <c r="E289">
        <v>0</v>
      </c>
      <c r="F289">
        <v>70</v>
      </c>
      <c r="G289">
        <v>15</v>
      </c>
      <c r="H289">
        <v>15</v>
      </c>
      <c r="I289">
        <v>30</v>
      </c>
      <c r="J289">
        <v>40</v>
      </c>
      <c r="K289" t="s">
        <v>147</v>
      </c>
      <c r="L289" t="s">
        <v>185</v>
      </c>
      <c r="M289" t="s">
        <v>179</v>
      </c>
      <c r="N289" t="s">
        <v>150</v>
      </c>
      <c r="O289">
        <f>ROUND(($C289*Loss_Constants!$B$2+$D289*Loss_Constants!$B$3+$E289*Loss_Constants!$B$4+$F289*Loss_Constants!$B$5)/100,1)</f>
        <v>15.8</v>
      </c>
      <c r="P289">
        <f>ROUND(($G289*Loss_Constants!$E$2+$H289*Loss_Constants!$E$3+$I289*Loss_Constants!$E$4+$J289*Loss_Constants!$E$5)/100,1)</f>
        <v>6.4</v>
      </c>
      <c r="Q289">
        <f t="shared" si="4"/>
        <v>22.2</v>
      </c>
      <c r="R289" t="s">
        <v>75</v>
      </c>
      <c r="S289" t="s">
        <v>76</v>
      </c>
    </row>
    <row r="290" spans="1:19">
      <c r="A290">
        <v>289</v>
      </c>
      <c r="B290" t="s">
        <v>115</v>
      </c>
      <c r="C290">
        <v>25</v>
      </c>
      <c r="D290">
        <v>5</v>
      </c>
      <c r="E290">
        <v>0</v>
      </c>
      <c r="F290">
        <v>70</v>
      </c>
      <c r="G290">
        <v>20</v>
      </c>
      <c r="H290">
        <v>15</v>
      </c>
      <c r="I290">
        <v>30</v>
      </c>
      <c r="J290">
        <v>35</v>
      </c>
      <c r="K290" t="s">
        <v>134</v>
      </c>
      <c r="L290" t="s">
        <v>185</v>
      </c>
      <c r="M290" t="s">
        <v>179</v>
      </c>
      <c r="N290" t="s">
        <v>150</v>
      </c>
      <c r="O290">
        <f>ROUND(($C290*Loss_Constants!$B$2+$D290*Loss_Constants!$B$3+$E290*Loss_Constants!$B$4+$F290*Loss_Constants!$B$5)/100,1)</f>
        <v>15.8</v>
      </c>
      <c r="P290">
        <f>ROUND(($G290*Loss_Constants!$E$2+$H290*Loss_Constants!$E$3+$I290*Loss_Constants!$E$4+$J290*Loss_Constants!$E$5)/100,1)</f>
        <v>6</v>
      </c>
      <c r="Q290">
        <f t="shared" si="4"/>
        <v>21.8</v>
      </c>
      <c r="R290" t="s">
        <v>23</v>
      </c>
      <c r="S290" t="s">
        <v>24</v>
      </c>
    </row>
    <row r="291" spans="1:19">
      <c r="A291">
        <v>290</v>
      </c>
      <c r="B291" t="s">
        <v>428</v>
      </c>
      <c r="C291">
        <v>20</v>
      </c>
      <c r="D291">
        <v>60</v>
      </c>
      <c r="E291">
        <v>10</v>
      </c>
      <c r="F291">
        <v>10</v>
      </c>
      <c r="G291">
        <v>40</v>
      </c>
      <c r="H291">
        <v>40</v>
      </c>
      <c r="I291">
        <v>15</v>
      </c>
      <c r="J291">
        <v>5</v>
      </c>
      <c r="K291" t="s">
        <v>147</v>
      </c>
      <c r="L291" t="s">
        <v>323</v>
      </c>
      <c r="M291" t="s">
        <v>142</v>
      </c>
      <c r="N291" t="s">
        <v>137</v>
      </c>
      <c r="O291">
        <f>ROUND(($C291*Loss_Constants!$B$2+$D291*Loss_Constants!$B$3+$E291*Loss_Constants!$B$4+$F291*Loss_Constants!$B$5)/100,1)</f>
        <v>6.9</v>
      </c>
      <c r="P291">
        <f>ROUND(($G291*Loss_Constants!$E$2+$H291*Loss_Constants!$E$3+$I291*Loss_Constants!$E$4+$J291*Loss_Constants!$E$5)/100,1)</f>
        <v>3</v>
      </c>
      <c r="Q291">
        <f t="shared" si="4"/>
        <v>9.9</v>
      </c>
      <c r="R291" t="s">
        <v>79</v>
      </c>
      <c r="S291" t="s">
        <v>80</v>
      </c>
    </row>
    <row r="292" spans="1:19">
      <c r="A292">
        <v>291</v>
      </c>
      <c r="B292" t="s">
        <v>429</v>
      </c>
      <c r="C292">
        <v>20</v>
      </c>
      <c r="D292">
        <v>60</v>
      </c>
      <c r="E292">
        <v>10</v>
      </c>
      <c r="F292">
        <v>10</v>
      </c>
      <c r="G292">
        <v>40</v>
      </c>
      <c r="H292">
        <v>40</v>
      </c>
      <c r="I292">
        <v>15</v>
      </c>
      <c r="J292">
        <v>5</v>
      </c>
      <c r="K292" t="s">
        <v>147</v>
      </c>
      <c r="L292" t="s">
        <v>323</v>
      </c>
      <c r="M292" t="s">
        <v>142</v>
      </c>
      <c r="N292" t="s">
        <v>137</v>
      </c>
      <c r="O292">
        <f>ROUND(($C292*Loss_Constants!$B$2+$D292*Loss_Constants!$B$3+$E292*Loss_Constants!$B$4+$F292*Loss_Constants!$B$5)/100,1)</f>
        <v>6.9</v>
      </c>
      <c r="P292">
        <f>ROUND(($G292*Loss_Constants!$E$2+$H292*Loss_Constants!$E$3+$I292*Loss_Constants!$E$4+$J292*Loss_Constants!$E$5)/100,1)</f>
        <v>3</v>
      </c>
      <c r="Q292">
        <f t="shared" si="4"/>
        <v>9.9</v>
      </c>
      <c r="R292" t="s">
        <v>79</v>
      </c>
      <c r="S292" t="s">
        <v>80</v>
      </c>
    </row>
    <row r="293" spans="1:19">
      <c r="A293">
        <v>292</v>
      </c>
      <c r="B293" t="s">
        <v>430</v>
      </c>
      <c r="C293">
        <v>20</v>
      </c>
      <c r="D293">
        <v>30</v>
      </c>
      <c r="E293">
        <v>5</v>
      </c>
      <c r="F293">
        <v>45</v>
      </c>
      <c r="G293">
        <v>15</v>
      </c>
      <c r="H293">
        <v>30</v>
      </c>
      <c r="I293">
        <v>35</v>
      </c>
      <c r="J293">
        <v>20</v>
      </c>
      <c r="K293" t="s">
        <v>134</v>
      </c>
      <c r="L293" t="s">
        <v>135</v>
      </c>
      <c r="M293" t="s">
        <v>149</v>
      </c>
      <c r="N293" t="s">
        <v>137</v>
      </c>
      <c r="O293">
        <f>ROUND(($C293*Loss_Constants!$B$2+$D293*Loss_Constants!$B$3+$E293*Loss_Constants!$B$4+$F293*Loss_Constants!$B$5)/100,1)</f>
        <v>11.9</v>
      </c>
      <c r="P293">
        <f>ROUND(($G293*Loss_Constants!$E$2+$H293*Loss_Constants!$E$3+$I293*Loss_Constants!$E$4+$J293*Loss_Constants!$E$5)/100,1)</f>
        <v>5.2</v>
      </c>
      <c r="Q293">
        <f t="shared" si="4"/>
        <v>17.100000000000001</v>
      </c>
      <c r="R293" t="s">
        <v>51</v>
      </c>
      <c r="S293" t="s">
        <v>52</v>
      </c>
    </row>
    <row r="294" spans="1:19">
      <c r="A294">
        <v>293</v>
      </c>
      <c r="B294" t="s">
        <v>431</v>
      </c>
      <c r="C294">
        <v>30</v>
      </c>
      <c r="D294">
        <v>45</v>
      </c>
      <c r="E294">
        <v>5</v>
      </c>
      <c r="F294">
        <v>20</v>
      </c>
      <c r="G294">
        <v>20</v>
      </c>
      <c r="H294">
        <v>40</v>
      </c>
      <c r="I294">
        <v>30</v>
      </c>
      <c r="J294">
        <v>10</v>
      </c>
      <c r="K294" t="s">
        <v>147</v>
      </c>
      <c r="L294" t="s">
        <v>323</v>
      </c>
      <c r="M294" t="s">
        <v>142</v>
      </c>
      <c r="N294" t="s">
        <v>137</v>
      </c>
      <c r="O294">
        <f>ROUND(($C294*Loss_Constants!$B$2+$D294*Loss_Constants!$B$3+$E294*Loss_Constants!$B$4+$F294*Loss_Constants!$B$5)/100,1)</f>
        <v>9.1999999999999993</v>
      </c>
      <c r="P294">
        <f>ROUND(($G294*Loss_Constants!$E$2+$H294*Loss_Constants!$E$3+$I294*Loss_Constants!$E$4+$J294*Loss_Constants!$E$5)/100,1)</f>
        <v>4.2</v>
      </c>
      <c r="Q294">
        <f t="shared" si="4"/>
        <v>13.4</v>
      </c>
      <c r="R294" t="s">
        <v>7</v>
      </c>
      <c r="S294" t="s">
        <v>8</v>
      </c>
    </row>
    <row r="295" spans="1:19">
      <c r="A295">
        <v>294</v>
      </c>
      <c r="B295" t="s">
        <v>432</v>
      </c>
      <c r="C295">
        <v>70</v>
      </c>
      <c r="D295">
        <v>0</v>
      </c>
      <c r="E295">
        <v>0</v>
      </c>
      <c r="F295">
        <v>30</v>
      </c>
      <c r="G295">
        <v>75</v>
      </c>
      <c r="H295">
        <v>15</v>
      </c>
      <c r="I295">
        <v>8</v>
      </c>
      <c r="J295">
        <v>2</v>
      </c>
      <c r="K295" t="s">
        <v>172</v>
      </c>
      <c r="L295" t="s">
        <v>408</v>
      </c>
      <c r="M295" t="s">
        <v>142</v>
      </c>
      <c r="N295" t="s">
        <v>143</v>
      </c>
      <c r="O295">
        <f>ROUND(($C295*Loss_Constants!$B$2+$D295*Loss_Constants!$B$3+$E295*Loss_Constants!$B$4+$F295*Loss_Constants!$B$5)/100,1)</f>
        <v>13.8</v>
      </c>
      <c r="P295">
        <f>ROUND(($G295*Loss_Constants!$E$2+$H295*Loss_Constants!$E$3+$I295*Loss_Constants!$E$4+$J295*Loss_Constants!$E$5)/100,1)</f>
        <v>1.9</v>
      </c>
      <c r="Q295">
        <f t="shared" si="4"/>
        <v>15.7</v>
      </c>
      <c r="R295" t="s">
        <v>71</v>
      </c>
      <c r="S295" t="s">
        <v>72</v>
      </c>
    </row>
    <row r="296" spans="1:19">
      <c r="A296">
        <v>295</v>
      </c>
      <c r="B296" t="s">
        <v>433</v>
      </c>
      <c r="C296">
        <v>30</v>
      </c>
      <c r="D296">
        <v>5</v>
      </c>
      <c r="E296">
        <v>0</v>
      </c>
      <c r="F296">
        <v>65</v>
      </c>
      <c r="G296">
        <v>15</v>
      </c>
      <c r="H296">
        <v>15</v>
      </c>
      <c r="I296">
        <v>35</v>
      </c>
      <c r="J296">
        <v>35</v>
      </c>
      <c r="K296" t="s">
        <v>134</v>
      </c>
      <c r="L296" t="s">
        <v>220</v>
      </c>
      <c r="M296" t="s">
        <v>179</v>
      </c>
      <c r="N296" t="s">
        <v>150</v>
      </c>
      <c r="O296">
        <f>ROUND(($C296*Loss_Constants!$B$2+$D296*Loss_Constants!$B$3+$E296*Loss_Constants!$B$4+$F296*Loss_Constants!$B$5)/100,1)</f>
        <v>15.5</v>
      </c>
      <c r="P296">
        <f>ROUND(($G296*Loss_Constants!$E$2+$H296*Loss_Constants!$E$3+$I296*Loss_Constants!$E$4+$J296*Loss_Constants!$E$5)/100,1)</f>
        <v>6.2</v>
      </c>
      <c r="Q296">
        <f t="shared" si="4"/>
        <v>21.7</v>
      </c>
      <c r="R296" t="s">
        <v>17</v>
      </c>
      <c r="S296" t="s">
        <v>18</v>
      </c>
    </row>
    <row r="297" spans="1:19">
      <c r="A297">
        <v>296</v>
      </c>
      <c r="B297" t="s">
        <v>434</v>
      </c>
      <c r="C297">
        <v>20</v>
      </c>
      <c r="D297">
        <v>60</v>
      </c>
      <c r="E297">
        <v>10</v>
      </c>
      <c r="F297">
        <v>10</v>
      </c>
      <c r="G297">
        <v>40</v>
      </c>
      <c r="H297">
        <v>40</v>
      </c>
      <c r="I297">
        <v>15</v>
      </c>
      <c r="J297">
        <v>5</v>
      </c>
      <c r="K297" t="s">
        <v>147</v>
      </c>
      <c r="L297" t="s">
        <v>323</v>
      </c>
      <c r="M297" t="s">
        <v>142</v>
      </c>
      <c r="N297" t="s">
        <v>137</v>
      </c>
      <c r="O297">
        <f>ROUND(($C297*Loss_Constants!$B$2+$D297*Loss_Constants!$B$3+$E297*Loss_Constants!$B$4+$F297*Loss_Constants!$B$5)/100,1)</f>
        <v>6.9</v>
      </c>
      <c r="P297">
        <f>ROUND(($G297*Loss_Constants!$E$2+$H297*Loss_Constants!$E$3+$I297*Loss_Constants!$E$4+$J297*Loss_Constants!$E$5)/100,1)</f>
        <v>3</v>
      </c>
      <c r="Q297">
        <f t="shared" si="4"/>
        <v>9.9</v>
      </c>
      <c r="R297" t="s">
        <v>79</v>
      </c>
      <c r="S297" t="s">
        <v>80</v>
      </c>
    </row>
    <row r="298" spans="1:19">
      <c r="A298">
        <v>297</v>
      </c>
      <c r="B298" t="s">
        <v>435</v>
      </c>
      <c r="C298">
        <v>20</v>
      </c>
      <c r="D298">
        <v>30</v>
      </c>
      <c r="E298">
        <v>5</v>
      </c>
      <c r="F298">
        <v>45</v>
      </c>
      <c r="G298">
        <v>15</v>
      </c>
      <c r="H298">
        <v>30</v>
      </c>
      <c r="I298">
        <v>35</v>
      </c>
      <c r="J298">
        <v>20</v>
      </c>
      <c r="K298" t="s">
        <v>134</v>
      </c>
      <c r="L298" t="s">
        <v>135</v>
      </c>
      <c r="M298" t="s">
        <v>149</v>
      </c>
      <c r="N298" t="s">
        <v>137</v>
      </c>
      <c r="O298">
        <f>ROUND(($C298*Loss_Constants!$B$2+$D298*Loss_Constants!$B$3+$E298*Loss_Constants!$B$4+$F298*Loss_Constants!$B$5)/100,1)</f>
        <v>11.9</v>
      </c>
      <c r="P298">
        <f>ROUND(($G298*Loss_Constants!$E$2+$H298*Loss_Constants!$E$3+$I298*Loss_Constants!$E$4+$J298*Loss_Constants!$E$5)/100,1)</f>
        <v>5.2</v>
      </c>
      <c r="Q298">
        <f t="shared" si="4"/>
        <v>17.100000000000001</v>
      </c>
      <c r="R298" t="s">
        <v>51</v>
      </c>
      <c r="S298" t="s">
        <v>52</v>
      </c>
    </row>
    <row r="299" spans="1:19">
      <c r="A299">
        <v>298</v>
      </c>
      <c r="B299" t="s">
        <v>436</v>
      </c>
      <c r="C299">
        <v>20</v>
      </c>
      <c r="D299">
        <v>40</v>
      </c>
      <c r="E299">
        <v>30</v>
      </c>
      <c r="F299">
        <v>10</v>
      </c>
      <c r="G299">
        <v>60</v>
      </c>
      <c r="H299">
        <v>25</v>
      </c>
      <c r="I299">
        <v>10</v>
      </c>
      <c r="J299">
        <v>5</v>
      </c>
      <c r="K299" t="s">
        <v>134</v>
      </c>
      <c r="L299" t="s">
        <v>135</v>
      </c>
      <c r="M299" t="s">
        <v>142</v>
      </c>
      <c r="N299" t="s">
        <v>143</v>
      </c>
      <c r="O299">
        <f>ROUND(($C299*Loss_Constants!$B$2+$D299*Loss_Constants!$B$3+$E299*Loss_Constants!$B$4+$F299*Loss_Constants!$B$5)/100,1)</f>
        <v>6.7</v>
      </c>
      <c r="P299">
        <f>ROUND(($G299*Loss_Constants!$E$2+$H299*Loss_Constants!$E$3+$I299*Loss_Constants!$E$4+$J299*Loss_Constants!$E$5)/100,1)</f>
        <v>2.5</v>
      </c>
      <c r="Q299">
        <f t="shared" si="4"/>
        <v>9.1999999999999993</v>
      </c>
      <c r="R299" t="s">
        <v>59</v>
      </c>
      <c r="S299" t="s">
        <v>60</v>
      </c>
    </row>
    <row r="300" spans="1:19">
      <c r="A300">
        <v>299</v>
      </c>
      <c r="B300" t="s">
        <v>437</v>
      </c>
      <c r="C300">
        <v>20</v>
      </c>
      <c r="D300">
        <v>40</v>
      </c>
      <c r="E300">
        <v>30</v>
      </c>
      <c r="F300">
        <v>10</v>
      </c>
      <c r="G300">
        <v>60</v>
      </c>
      <c r="H300">
        <v>25</v>
      </c>
      <c r="I300">
        <v>10</v>
      </c>
      <c r="J300">
        <v>5</v>
      </c>
      <c r="K300" t="s">
        <v>134</v>
      </c>
      <c r="L300" t="s">
        <v>135</v>
      </c>
      <c r="M300" t="s">
        <v>142</v>
      </c>
      <c r="N300" t="s">
        <v>143</v>
      </c>
      <c r="O300">
        <f>ROUND(($C300*Loss_Constants!$B$2+$D300*Loss_Constants!$B$3+$E300*Loss_Constants!$B$4+$F300*Loss_Constants!$B$5)/100,1)</f>
        <v>6.7</v>
      </c>
      <c r="P300">
        <f>ROUND(($G300*Loss_Constants!$E$2+$H300*Loss_Constants!$E$3+$I300*Loss_Constants!$E$4+$J300*Loss_Constants!$E$5)/100,1)</f>
        <v>2.5</v>
      </c>
      <c r="Q300">
        <f t="shared" si="4"/>
        <v>9.1999999999999993</v>
      </c>
      <c r="R300" t="s">
        <v>59</v>
      </c>
      <c r="S300" t="s">
        <v>60</v>
      </c>
    </row>
    <row r="301" spans="1:19">
      <c r="A301">
        <v>300</v>
      </c>
      <c r="B301" t="s">
        <v>438</v>
      </c>
      <c r="C301">
        <v>20</v>
      </c>
      <c r="D301">
        <v>60</v>
      </c>
      <c r="E301">
        <v>10</v>
      </c>
      <c r="F301">
        <v>10</v>
      </c>
      <c r="G301">
        <v>40</v>
      </c>
      <c r="H301">
        <v>40</v>
      </c>
      <c r="I301">
        <v>15</v>
      </c>
      <c r="J301">
        <v>5</v>
      </c>
      <c r="K301" t="s">
        <v>147</v>
      </c>
      <c r="L301" t="s">
        <v>323</v>
      </c>
      <c r="M301" t="s">
        <v>142</v>
      </c>
      <c r="N301" t="s">
        <v>137</v>
      </c>
      <c r="O301">
        <f>ROUND(($C301*Loss_Constants!$B$2+$D301*Loss_Constants!$B$3+$E301*Loss_Constants!$B$4+$F301*Loss_Constants!$B$5)/100,1)</f>
        <v>6.9</v>
      </c>
      <c r="P301">
        <f>ROUND(($G301*Loss_Constants!$E$2+$H301*Loss_Constants!$E$3+$I301*Loss_Constants!$E$4+$J301*Loss_Constants!$E$5)/100,1)</f>
        <v>3</v>
      </c>
      <c r="Q301">
        <f t="shared" si="4"/>
        <v>9.9</v>
      </c>
      <c r="R301" t="s">
        <v>79</v>
      </c>
      <c r="S301" t="s">
        <v>80</v>
      </c>
    </row>
    <row r="302" spans="1:19">
      <c r="A302">
        <v>301</v>
      </c>
      <c r="B302" t="s">
        <v>439</v>
      </c>
      <c r="C302">
        <v>20</v>
      </c>
      <c r="D302">
        <v>40</v>
      </c>
      <c r="E302">
        <v>30</v>
      </c>
      <c r="F302">
        <v>10</v>
      </c>
      <c r="G302">
        <v>60</v>
      </c>
      <c r="H302">
        <v>25</v>
      </c>
      <c r="I302">
        <v>10</v>
      </c>
      <c r="J302">
        <v>5</v>
      </c>
      <c r="K302" t="s">
        <v>134</v>
      </c>
      <c r="L302" t="s">
        <v>135</v>
      </c>
      <c r="M302" t="s">
        <v>142</v>
      </c>
      <c r="N302" t="s">
        <v>143</v>
      </c>
      <c r="O302">
        <f>ROUND(($C302*Loss_Constants!$B$2+$D302*Loss_Constants!$B$3+$E302*Loss_Constants!$B$4+$F302*Loss_Constants!$B$5)/100,1)</f>
        <v>6.7</v>
      </c>
      <c r="P302">
        <f>ROUND(($G302*Loss_Constants!$E$2+$H302*Loss_Constants!$E$3+$I302*Loss_Constants!$E$4+$J302*Loss_Constants!$E$5)/100,1)</f>
        <v>2.5</v>
      </c>
      <c r="Q302">
        <f t="shared" si="4"/>
        <v>9.1999999999999993</v>
      </c>
      <c r="R302" t="s">
        <v>59</v>
      </c>
      <c r="S302" t="s">
        <v>60</v>
      </c>
    </row>
    <row r="303" spans="1:19">
      <c r="A303">
        <v>302</v>
      </c>
      <c r="B303" t="s">
        <v>440</v>
      </c>
      <c r="C303">
        <v>20</v>
      </c>
      <c r="D303">
        <v>40</v>
      </c>
      <c r="E303">
        <v>30</v>
      </c>
      <c r="F303">
        <v>10</v>
      </c>
      <c r="G303">
        <v>60</v>
      </c>
      <c r="H303">
        <v>25</v>
      </c>
      <c r="I303">
        <v>10</v>
      </c>
      <c r="J303">
        <v>5</v>
      </c>
      <c r="K303" t="s">
        <v>134</v>
      </c>
      <c r="L303" t="s">
        <v>135</v>
      </c>
      <c r="M303" t="s">
        <v>142</v>
      </c>
      <c r="N303" t="s">
        <v>143</v>
      </c>
      <c r="O303">
        <f>ROUND(($C303*Loss_Constants!$B$2+$D303*Loss_Constants!$B$3+$E303*Loss_Constants!$B$4+$F303*Loss_Constants!$B$5)/100,1)</f>
        <v>6.7</v>
      </c>
      <c r="P303">
        <f>ROUND(($G303*Loss_Constants!$E$2+$H303*Loss_Constants!$E$3+$I303*Loss_Constants!$E$4+$J303*Loss_Constants!$E$5)/100,1)</f>
        <v>2.5</v>
      </c>
      <c r="Q303">
        <f t="shared" si="4"/>
        <v>9.1999999999999993</v>
      </c>
      <c r="R303" t="s">
        <v>59</v>
      </c>
      <c r="S303" t="s">
        <v>60</v>
      </c>
    </row>
    <row r="304" spans="1:19">
      <c r="A304">
        <v>303</v>
      </c>
      <c r="B304" t="s">
        <v>441</v>
      </c>
      <c r="C304">
        <v>70</v>
      </c>
      <c r="D304">
        <v>0</v>
      </c>
      <c r="E304">
        <v>0</v>
      </c>
      <c r="F304">
        <v>30</v>
      </c>
      <c r="G304">
        <v>75</v>
      </c>
      <c r="H304">
        <v>15</v>
      </c>
      <c r="I304">
        <v>8</v>
      </c>
      <c r="J304">
        <v>2</v>
      </c>
      <c r="K304" t="s">
        <v>172</v>
      </c>
      <c r="L304" t="s">
        <v>408</v>
      </c>
      <c r="M304" t="s">
        <v>142</v>
      </c>
      <c r="N304" t="s">
        <v>143</v>
      </c>
      <c r="O304">
        <f>ROUND(($C304*Loss_Constants!$B$2+$D304*Loss_Constants!$B$3+$E304*Loss_Constants!$B$4+$F304*Loss_Constants!$B$5)/100,1)</f>
        <v>13.8</v>
      </c>
      <c r="P304">
        <f>ROUND(($G304*Loss_Constants!$E$2+$H304*Loss_Constants!$E$3+$I304*Loss_Constants!$E$4+$J304*Loss_Constants!$E$5)/100,1)</f>
        <v>1.9</v>
      </c>
      <c r="Q304">
        <f t="shared" si="4"/>
        <v>15.7</v>
      </c>
      <c r="R304" t="s">
        <v>71</v>
      </c>
      <c r="S304" t="s">
        <v>72</v>
      </c>
    </row>
    <row r="305" spans="1:19">
      <c r="A305">
        <v>304</v>
      </c>
      <c r="B305" t="s">
        <v>442</v>
      </c>
      <c r="C305">
        <v>25</v>
      </c>
      <c r="D305">
        <v>55</v>
      </c>
      <c r="E305">
        <v>10</v>
      </c>
      <c r="F305">
        <v>10</v>
      </c>
      <c r="G305">
        <v>70</v>
      </c>
      <c r="H305">
        <v>25</v>
      </c>
      <c r="I305">
        <v>5</v>
      </c>
      <c r="J305">
        <v>0</v>
      </c>
      <c r="K305" t="s">
        <v>134</v>
      </c>
      <c r="L305" t="s">
        <v>135</v>
      </c>
      <c r="M305" t="s">
        <v>142</v>
      </c>
      <c r="N305" t="s">
        <v>143</v>
      </c>
      <c r="O305">
        <f>ROUND(($C305*Loss_Constants!$B$2+$D305*Loss_Constants!$B$3+$E305*Loss_Constants!$B$4+$F305*Loss_Constants!$B$5)/100,1)</f>
        <v>7.3</v>
      </c>
      <c r="P305">
        <f>ROUND(($G305*Loss_Constants!$E$2+$H305*Loss_Constants!$E$3+$I305*Loss_Constants!$E$4+$J305*Loss_Constants!$E$5)/100,1)</f>
        <v>1.8</v>
      </c>
      <c r="Q305">
        <f t="shared" si="4"/>
        <v>9.1</v>
      </c>
      <c r="R305" t="s">
        <v>21</v>
      </c>
      <c r="S305" t="s">
        <v>22</v>
      </c>
    </row>
    <row r="306" spans="1:19">
      <c r="A306">
        <v>305</v>
      </c>
      <c r="B306" t="s">
        <v>443</v>
      </c>
      <c r="C306">
        <v>20</v>
      </c>
      <c r="D306">
        <v>40</v>
      </c>
      <c r="E306">
        <v>30</v>
      </c>
      <c r="F306">
        <v>10</v>
      </c>
      <c r="G306">
        <v>60</v>
      </c>
      <c r="H306">
        <v>25</v>
      </c>
      <c r="I306">
        <v>10</v>
      </c>
      <c r="J306">
        <v>5</v>
      </c>
      <c r="K306" t="s">
        <v>134</v>
      </c>
      <c r="L306" t="s">
        <v>135</v>
      </c>
      <c r="M306" t="s">
        <v>142</v>
      </c>
      <c r="N306" t="s">
        <v>143</v>
      </c>
      <c r="O306">
        <f>ROUND(($C306*Loss_Constants!$B$2+$D306*Loss_Constants!$B$3+$E306*Loss_Constants!$B$4+$F306*Loss_Constants!$B$5)/100,1)</f>
        <v>6.7</v>
      </c>
      <c r="P306">
        <f>ROUND(($G306*Loss_Constants!$E$2+$H306*Loss_Constants!$E$3+$I306*Loss_Constants!$E$4+$J306*Loss_Constants!$E$5)/100,1)</f>
        <v>2.5</v>
      </c>
      <c r="Q306">
        <f t="shared" si="4"/>
        <v>9.1999999999999993</v>
      </c>
      <c r="R306" t="s">
        <v>59</v>
      </c>
      <c r="S306" t="s">
        <v>60</v>
      </c>
    </row>
    <row r="307" spans="1:19">
      <c r="A307">
        <v>306</v>
      </c>
      <c r="B307" t="s">
        <v>444</v>
      </c>
      <c r="C307">
        <v>70</v>
      </c>
      <c r="D307">
        <v>0</v>
      </c>
      <c r="E307">
        <v>0</v>
      </c>
      <c r="F307">
        <v>30</v>
      </c>
      <c r="G307">
        <v>75</v>
      </c>
      <c r="H307">
        <v>15</v>
      </c>
      <c r="I307">
        <v>8</v>
      </c>
      <c r="J307">
        <v>2</v>
      </c>
      <c r="K307" t="s">
        <v>172</v>
      </c>
      <c r="L307" t="s">
        <v>408</v>
      </c>
      <c r="M307" t="s">
        <v>142</v>
      </c>
      <c r="N307" t="s">
        <v>143</v>
      </c>
      <c r="O307">
        <f>ROUND(($C307*Loss_Constants!$B$2+$D307*Loss_Constants!$B$3+$E307*Loss_Constants!$B$4+$F307*Loss_Constants!$B$5)/100,1)</f>
        <v>13.8</v>
      </c>
      <c r="P307">
        <f>ROUND(($G307*Loss_Constants!$E$2+$H307*Loss_Constants!$E$3+$I307*Loss_Constants!$E$4+$J307*Loss_Constants!$E$5)/100,1)</f>
        <v>1.9</v>
      </c>
      <c r="Q307">
        <f t="shared" si="4"/>
        <v>15.7</v>
      </c>
      <c r="R307" t="s">
        <v>71</v>
      </c>
      <c r="S307" t="s">
        <v>72</v>
      </c>
    </row>
    <row r="308" spans="1:19">
      <c r="A308">
        <v>307</v>
      </c>
      <c r="B308" t="s">
        <v>445</v>
      </c>
      <c r="C308">
        <v>30</v>
      </c>
      <c r="D308">
        <v>5</v>
      </c>
      <c r="E308">
        <v>0</v>
      </c>
      <c r="F308">
        <v>65</v>
      </c>
      <c r="G308">
        <v>15</v>
      </c>
      <c r="H308">
        <v>15</v>
      </c>
      <c r="I308">
        <v>35</v>
      </c>
      <c r="J308">
        <v>35</v>
      </c>
      <c r="K308" t="s">
        <v>134</v>
      </c>
      <c r="L308" t="s">
        <v>220</v>
      </c>
      <c r="M308" t="s">
        <v>179</v>
      </c>
      <c r="N308" t="s">
        <v>150</v>
      </c>
      <c r="O308">
        <f>ROUND(($C308*Loss_Constants!$B$2+$D308*Loss_Constants!$B$3+$E308*Loss_Constants!$B$4+$F308*Loss_Constants!$B$5)/100,1)</f>
        <v>15.5</v>
      </c>
      <c r="P308">
        <f>ROUND(($G308*Loss_Constants!$E$2+$H308*Loss_Constants!$E$3+$I308*Loss_Constants!$E$4+$J308*Loss_Constants!$E$5)/100,1)</f>
        <v>6.2</v>
      </c>
      <c r="Q308">
        <f t="shared" si="4"/>
        <v>21.7</v>
      </c>
      <c r="R308" t="s">
        <v>17</v>
      </c>
      <c r="S308" t="s">
        <v>18</v>
      </c>
    </row>
    <row r="309" spans="1:19">
      <c r="A309">
        <v>308</v>
      </c>
      <c r="B309" t="s">
        <v>446</v>
      </c>
      <c r="C309">
        <v>20</v>
      </c>
      <c r="D309">
        <v>60</v>
      </c>
      <c r="E309">
        <v>10</v>
      </c>
      <c r="F309">
        <v>10</v>
      </c>
      <c r="G309">
        <v>40</v>
      </c>
      <c r="H309">
        <v>40</v>
      </c>
      <c r="I309">
        <v>15</v>
      </c>
      <c r="J309">
        <v>5</v>
      </c>
      <c r="K309" t="s">
        <v>147</v>
      </c>
      <c r="L309" t="s">
        <v>323</v>
      </c>
      <c r="M309" t="s">
        <v>142</v>
      </c>
      <c r="N309" t="s">
        <v>137</v>
      </c>
      <c r="O309">
        <f>ROUND(($C309*Loss_Constants!$B$2+$D309*Loss_Constants!$B$3+$E309*Loss_Constants!$B$4+$F309*Loss_Constants!$B$5)/100,1)</f>
        <v>6.9</v>
      </c>
      <c r="P309">
        <f>ROUND(($G309*Loss_Constants!$E$2+$H309*Loss_Constants!$E$3+$I309*Loss_Constants!$E$4+$J309*Loss_Constants!$E$5)/100,1)</f>
        <v>3</v>
      </c>
      <c r="Q309">
        <f t="shared" si="4"/>
        <v>9.9</v>
      </c>
      <c r="R309" t="s">
        <v>79</v>
      </c>
      <c r="S309" t="s">
        <v>80</v>
      </c>
    </row>
    <row r="310" spans="1:19">
      <c r="A310">
        <v>309</v>
      </c>
      <c r="B310" t="s">
        <v>447</v>
      </c>
      <c r="C310">
        <v>30</v>
      </c>
      <c r="D310">
        <v>45</v>
      </c>
      <c r="E310">
        <v>5</v>
      </c>
      <c r="F310">
        <v>20</v>
      </c>
      <c r="G310">
        <v>20</v>
      </c>
      <c r="H310">
        <v>40</v>
      </c>
      <c r="I310">
        <v>30</v>
      </c>
      <c r="J310">
        <v>10</v>
      </c>
      <c r="K310" t="s">
        <v>147</v>
      </c>
      <c r="L310" t="s">
        <v>323</v>
      </c>
      <c r="M310" t="s">
        <v>142</v>
      </c>
      <c r="N310" t="s">
        <v>137</v>
      </c>
      <c r="O310">
        <f>ROUND(($C310*Loss_Constants!$B$2+$D310*Loss_Constants!$B$3+$E310*Loss_Constants!$B$4+$F310*Loss_Constants!$B$5)/100,1)</f>
        <v>9.1999999999999993</v>
      </c>
      <c r="P310">
        <f>ROUND(($G310*Loss_Constants!$E$2+$H310*Loss_Constants!$E$3+$I310*Loss_Constants!$E$4+$J310*Loss_Constants!$E$5)/100,1)</f>
        <v>4.2</v>
      </c>
      <c r="Q310">
        <f t="shared" si="4"/>
        <v>13.4</v>
      </c>
      <c r="R310" t="s">
        <v>7</v>
      </c>
      <c r="S310" t="s">
        <v>8</v>
      </c>
    </row>
    <row r="311" spans="1:19">
      <c r="A311">
        <v>310</v>
      </c>
      <c r="B311" t="s">
        <v>448</v>
      </c>
      <c r="C311">
        <v>20</v>
      </c>
      <c r="D311">
        <v>35</v>
      </c>
      <c r="E311">
        <v>20</v>
      </c>
      <c r="F311">
        <v>25</v>
      </c>
      <c r="G311">
        <v>35</v>
      </c>
      <c r="H311">
        <v>30</v>
      </c>
      <c r="I311">
        <v>25</v>
      </c>
      <c r="J311">
        <v>10</v>
      </c>
      <c r="K311" t="s">
        <v>134</v>
      </c>
      <c r="L311" t="s">
        <v>284</v>
      </c>
      <c r="M311" t="s">
        <v>136</v>
      </c>
      <c r="N311" t="s">
        <v>137</v>
      </c>
      <c r="O311">
        <f>ROUND(($C311*Loss_Constants!$B$2+$D311*Loss_Constants!$B$3+$E311*Loss_Constants!$B$4+$F311*Loss_Constants!$B$5)/100,1)</f>
        <v>8.9</v>
      </c>
      <c r="P311">
        <f>ROUND(($G311*Loss_Constants!$E$2+$H311*Loss_Constants!$E$3+$I311*Loss_Constants!$E$4+$J311*Loss_Constants!$E$5)/100,1)</f>
        <v>3.8</v>
      </c>
      <c r="Q311">
        <f t="shared" si="4"/>
        <v>12.7</v>
      </c>
      <c r="R311" t="s">
        <v>55</v>
      </c>
      <c r="S311" t="s">
        <v>56</v>
      </c>
    </row>
    <row r="312" spans="1:19">
      <c r="A312">
        <v>311</v>
      </c>
      <c r="B312" t="s">
        <v>449</v>
      </c>
      <c r="C312">
        <v>20</v>
      </c>
      <c r="D312">
        <v>30</v>
      </c>
      <c r="E312">
        <v>5</v>
      </c>
      <c r="F312">
        <v>45</v>
      </c>
      <c r="G312">
        <v>15</v>
      </c>
      <c r="H312">
        <v>30</v>
      </c>
      <c r="I312">
        <v>35</v>
      </c>
      <c r="J312">
        <v>20</v>
      </c>
      <c r="K312" t="s">
        <v>134</v>
      </c>
      <c r="L312" t="s">
        <v>135</v>
      </c>
      <c r="M312" t="s">
        <v>149</v>
      </c>
      <c r="N312" t="s">
        <v>137</v>
      </c>
      <c r="O312">
        <f>ROUND(($C312*Loss_Constants!$B$2+$D312*Loss_Constants!$B$3+$E312*Loss_Constants!$B$4+$F312*Loss_Constants!$B$5)/100,1)</f>
        <v>11.9</v>
      </c>
      <c r="P312">
        <f>ROUND(($G312*Loss_Constants!$E$2+$H312*Loss_Constants!$E$3+$I312*Loss_Constants!$E$4+$J312*Loss_Constants!$E$5)/100,1)</f>
        <v>5.2</v>
      </c>
      <c r="Q312">
        <f t="shared" si="4"/>
        <v>17.100000000000001</v>
      </c>
      <c r="R312" t="s">
        <v>51</v>
      </c>
      <c r="S312" t="s">
        <v>52</v>
      </c>
    </row>
    <row r="313" spans="1:19">
      <c r="A313">
        <v>312</v>
      </c>
      <c r="B313" t="s">
        <v>450</v>
      </c>
      <c r="C313">
        <v>25</v>
      </c>
      <c r="D313">
        <v>55</v>
      </c>
      <c r="E313">
        <v>10</v>
      </c>
      <c r="F313">
        <v>10</v>
      </c>
      <c r="G313">
        <v>70</v>
      </c>
      <c r="H313">
        <v>25</v>
      </c>
      <c r="I313">
        <v>5</v>
      </c>
      <c r="J313">
        <v>0</v>
      </c>
      <c r="K313" t="s">
        <v>134</v>
      </c>
      <c r="L313" t="s">
        <v>135</v>
      </c>
      <c r="M313" t="s">
        <v>142</v>
      </c>
      <c r="N313" t="s">
        <v>143</v>
      </c>
      <c r="O313">
        <f>ROUND(($C313*Loss_Constants!$B$2+$D313*Loss_Constants!$B$3+$E313*Loss_Constants!$B$4+$F313*Loss_Constants!$B$5)/100,1)</f>
        <v>7.3</v>
      </c>
      <c r="P313">
        <f>ROUND(($G313*Loss_Constants!$E$2+$H313*Loss_Constants!$E$3+$I313*Loss_Constants!$E$4+$J313*Loss_Constants!$E$5)/100,1)</f>
        <v>1.8</v>
      </c>
      <c r="Q313">
        <f t="shared" si="4"/>
        <v>9.1</v>
      </c>
      <c r="R313" t="s">
        <v>21</v>
      </c>
      <c r="S313" t="s">
        <v>22</v>
      </c>
    </row>
    <row r="314" spans="1:19">
      <c r="A314">
        <v>313</v>
      </c>
      <c r="B314" t="s">
        <v>451</v>
      </c>
      <c r="C314">
        <v>15</v>
      </c>
      <c r="D314">
        <v>55</v>
      </c>
      <c r="E314">
        <v>20</v>
      </c>
      <c r="F314">
        <v>10</v>
      </c>
      <c r="G314">
        <v>45</v>
      </c>
      <c r="H314">
        <v>35</v>
      </c>
      <c r="I314">
        <v>15</v>
      </c>
      <c r="J314">
        <v>5</v>
      </c>
      <c r="K314" t="s">
        <v>134</v>
      </c>
      <c r="L314" t="s">
        <v>135</v>
      </c>
      <c r="M314" t="s">
        <v>136</v>
      </c>
      <c r="N314" t="s">
        <v>137</v>
      </c>
      <c r="O314">
        <f>ROUND(($C314*Loss_Constants!$B$2+$D314*Loss_Constants!$B$3+$E314*Loss_Constants!$B$4+$F314*Loss_Constants!$B$5)/100,1)</f>
        <v>6.4</v>
      </c>
      <c r="P314">
        <f>ROUND(($G314*Loss_Constants!$E$2+$H314*Loss_Constants!$E$3+$I314*Loss_Constants!$E$4+$J314*Loss_Constants!$E$5)/100,1)</f>
        <v>2.9</v>
      </c>
      <c r="Q314">
        <f t="shared" si="4"/>
        <v>9.3000000000000007</v>
      </c>
      <c r="R314" t="s">
        <v>1</v>
      </c>
      <c r="S314" t="s">
        <v>2</v>
      </c>
    </row>
    <row r="315" spans="1:19">
      <c r="A315">
        <v>314</v>
      </c>
      <c r="B315" t="s">
        <v>452</v>
      </c>
      <c r="C315">
        <v>15</v>
      </c>
      <c r="D315">
        <v>35</v>
      </c>
      <c r="E315">
        <v>35</v>
      </c>
      <c r="F315">
        <v>15</v>
      </c>
      <c r="G315">
        <v>50</v>
      </c>
      <c r="H315">
        <v>30</v>
      </c>
      <c r="I315">
        <v>15</v>
      </c>
      <c r="J315">
        <v>5</v>
      </c>
      <c r="K315" t="s">
        <v>134</v>
      </c>
      <c r="L315" t="s">
        <v>277</v>
      </c>
      <c r="M315" t="s">
        <v>136</v>
      </c>
      <c r="N315" t="s">
        <v>143</v>
      </c>
      <c r="O315">
        <f>ROUND(($C315*Loss_Constants!$B$2+$D315*Loss_Constants!$B$3+$E315*Loss_Constants!$B$4+$F315*Loss_Constants!$B$5)/100,1)</f>
        <v>7</v>
      </c>
      <c r="P315">
        <f>ROUND(($G315*Loss_Constants!$E$2+$H315*Loss_Constants!$E$3+$I315*Loss_Constants!$E$4+$J315*Loss_Constants!$E$5)/100,1)</f>
        <v>2.8</v>
      </c>
      <c r="Q315">
        <f t="shared" si="4"/>
        <v>9.8000000000000007</v>
      </c>
      <c r="R315" t="s">
        <v>81</v>
      </c>
      <c r="S315" t="s">
        <v>82</v>
      </c>
    </row>
    <row r="316" spans="1:19">
      <c r="A316">
        <v>315</v>
      </c>
      <c r="B316" t="s">
        <v>453</v>
      </c>
      <c r="C316">
        <v>15</v>
      </c>
      <c r="D316">
        <v>35</v>
      </c>
      <c r="E316">
        <v>20</v>
      </c>
      <c r="F316">
        <v>30</v>
      </c>
      <c r="G316">
        <v>45</v>
      </c>
      <c r="H316">
        <v>30</v>
      </c>
      <c r="I316">
        <v>20</v>
      </c>
      <c r="J316">
        <v>5</v>
      </c>
      <c r="K316" t="s">
        <v>172</v>
      </c>
      <c r="L316" t="s">
        <v>277</v>
      </c>
      <c r="M316" t="s">
        <v>149</v>
      </c>
      <c r="N316" t="s">
        <v>143</v>
      </c>
      <c r="O316">
        <f>ROUND(($C316*Loss_Constants!$B$2+$D316*Loss_Constants!$B$3+$E316*Loss_Constants!$B$4+$F316*Loss_Constants!$B$5)/100,1)</f>
        <v>9.1999999999999993</v>
      </c>
      <c r="P316">
        <f>ROUND(($G316*Loss_Constants!$E$2+$H316*Loss_Constants!$E$3+$I316*Loss_Constants!$E$4+$J316*Loss_Constants!$E$5)/100,1)</f>
        <v>3.1</v>
      </c>
      <c r="Q316">
        <f t="shared" si="4"/>
        <v>12.3</v>
      </c>
      <c r="R316" t="s">
        <v>27</v>
      </c>
      <c r="S316" t="s">
        <v>28</v>
      </c>
    </row>
    <row r="317" spans="1:19">
      <c r="A317">
        <v>316</v>
      </c>
      <c r="B317" t="s">
        <v>454</v>
      </c>
      <c r="C317">
        <v>20</v>
      </c>
      <c r="D317">
        <v>10</v>
      </c>
      <c r="E317">
        <v>5</v>
      </c>
      <c r="F317">
        <v>65</v>
      </c>
      <c r="G317">
        <v>25</v>
      </c>
      <c r="H317">
        <v>20</v>
      </c>
      <c r="I317">
        <v>35</v>
      </c>
      <c r="J317">
        <v>20</v>
      </c>
      <c r="K317" t="s">
        <v>172</v>
      </c>
      <c r="L317" t="s">
        <v>148</v>
      </c>
      <c r="M317" t="s">
        <v>149</v>
      </c>
      <c r="N317" t="s">
        <v>140</v>
      </c>
      <c r="O317">
        <f>ROUND(($C317*Loss_Constants!$B$2+$D317*Loss_Constants!$B$3+$E317*Loss_Constants!$B$4+$F317*Loss_Constants!$B$5)/100,1)</f>
        <v>14.7</v>
      </c>
      <c r="P317">
        <f>ROUND(($G317*Loss_Constants!$E$2+$H317*Loss_Constants!$E$3+$I317*Loss_Constants!$E$4+$J317*Loss_Constants!$E$5)/100,1)</f>
        <v>5</v>
      </c>
      <c r="Q317">
        <f t="shared" si="4"/>
        <v>19.7</v>
      </c>
      <c r="R317" t="s">
        <v>89</v>
      </c>
      <c r="S317" t="s">
        <v>90</v>
      </c>
    </row>
    <row r="318" spans="1:19">
      <c r="A318">
        <v>317</v>
      </c>
      <c r="B318" t="s">
        <v>455</v>
      </c>
      <c r="C318">
        <v>20</v>
      </c>
      <c r="D318">
        <v>35</v>
      </c>
      <c r="E318">
        <v>10</v>
      </c>
      <c r="F318">
        <v>35</v>
      </c>
      <c r="G318">
        <v>20</v>
      </c>
      <c r="H318">
        <v>25</v>
      </c>
      <c r="I318">
        <v>35</v>
      </c>
      <c r="J318">
        <v>20</v>
      </c>
      <c r="K318" t="s">
        <v>134</v>
      </c>
      <c r="L318" t="s">
        <v>165</v>
      </c>
      <c r="M318" t="s">
        <v>149</v>
      </c>
      <c r="N318" t="s">
        <v>137</v>
      </c>
      <c r="O318">
        <f>ROUND(($C318*Loss_Constants!$B$2+$D318*Loss_Constants!$B$3+$E318*Loss_Constants!$B$4+$F318*Loss_Constants!$B$5)/100,1)</f>
        <v>10.4</v>
      </c>
      <c r="P318">
        <f>ROUND(($G318*Loss_Constants!$E$2+$H318*Loss_Constants!$E$3+$I318*Loss_Constants!$E$4+$J318*Loss_Constants!$E$5)/100,1)</f>
        <v>5.0999999999999996</v>
      </c>
      <c r="Q318">
        <f t="shared" si="4"/>
        <v>15.5</v>
      </c>
      <c r="R318" t="s">
        <v>53</v>
      </c>
      <c r="S318" t="s">
        <v>54</v>
      </c>
    </row>
    <row r="319" spans="1:19">
      <c r="A319">
        <v>318</v>
      </c>
      <c r="B319" t="s">
        <v>456</v>
      </c>
      <c r="C319">
        <v>15</v>
      </c>
      <c r="D319">
        <v>55</v>
      </c>
      <c r="E319">
        <v>20</v>
      </c>
      <c r="F319">
        <v>10</v>
      </c>
      <c r="G319">
        <v>40</v>
      </c>
      <c r="H319">
        <v>40</v>
      </c>
      <c r="I319">
        <v>15</v>
      </c>
      <c r="J319">
        <v>5</v>
      </c>
      <c r="K319" t="s">
        <v>134</v>
      </c>
      <c r="L319" t="s">
        <v>135</v>
      </c>
      <c r="M319" t="s">
        <v>136</v>
      </c>
      <c r="N319" t="s">
        <v>140</v>
      </c>
      <c r="O319">
        <f>ROUND(($C319*Loss_Constants!$B$2+$D319*Loss_Constants!$B$3+$E319*Loss_Constants!$B$4+$F319*Loss_Constants!$B$5)/100,1)</f>
        <v>6.4</v>
      </c>
      <c r="P319">
        <f>ROUND(($G319*Loss_Constants!$E$2+$H319*Loss_Constants!$E$3+$I319*Loss_Constants!$E$4+$J319*Loss_Constants!$E$5)/100,1)</f>
        <v>3</v>
      </c>
      <c r="Q319">
        <f t="shared" si="4"/>
        <v>9.4</v>
      </c>
      <c r="R319" t="s">
        <v>61</v>
      </c>
      <c r="S319" t="s">
        <v>62</v>
      </c>
    </row>
    <row r="320" spans="1:19">
      <c r="A320">
        <v>319</v>
      </c>
      <c r="B320" t="s">
        <v>457</v>
      </c>
      <c r="C320">
        <v>20</v>
      </c>
      <c r="D320">
        <v>40</v>
      </c>
      <c r="E320">
        <v>30</v>
      </c>
      <c r="F320">
        <v>10</v>
      </c>
      <c r="G320">
        <v>60</v>
      </c>
      <c r="H320">
        <v>25</v>
      </c>
      <c r="I320">
        <v>10</v>
      </c>
      <c r="J320">
        <v>5</v>
      </c>
      <c r="K320" t="s">
        <v>134</v>
      </c>
      <c r="L320" t="s">
        <v>135</v>
      </c>
      <c r="M320" t="s">
        <v>142</v>
      </c>
      <c r="N320" t="s">
        <v>143</v>
      </c>
      <c r="O320">
        <f>ROUND(($C320*Loss_Constants!$B$2+$D320*Loss_Constants!$B$3+$E320*Loss_Constants!$B$4+$F320*Loss_Constants!$B$5)/100,1)</f>
        <v>6.7</v>
      </c>
      <c r="P320">
        <f>ROUND(($G320*Loss_Constants!$E$2+$H320*Loss_Constants!$E$3+$I320*Loss_Constants!$E$4+$J320*Loss_Constants!$E$5)/100,1)</f>
        <v>2.5</v>
      </c>
      <c r="Q320">
        <f t="shared" si="4"/>
        <v>9.1999999999999993</v>
      </c>
      <c r="R320" t="s">
        <v>59</v>
      </c>
      <c r="S320" t="s">
        <v>60</v>
      </c>
    </row>
    <row r="321" spans="1:19">
      <c r="A321">
        <v>320</v>
      </c>
      <c r="B321" t="s">
        <v>458</v>
      </c>
      <c r="C321">
        <v>20</v>
      </c>
      <c r="D321">
        <v>5</v>
      </c>
      <c r="E321">
        <v>5</v>
      </c>
      <c r="F321">
        <v>70</v>
      </c>
      <c r="G321">
        <v>30</v>
      </c>
      <c r="H321">
        <v>20</v>
      </c>
      <c r="I321">
        <v>25</v>
      </c>
      <c r="J321">
        <v>25</v>
      </c>
      <c r="K321" t="s">
        <v>182</v>
      </c>
      <c r="L321" t="s">
        <v>148</v>
      </c>
      <c r="M321" t="s">
        <v>179</v>
      </c>
      <c r="N321" t="s">
        <v>174</v>
      </c>
      <c r="O321">
        <f>ROUND(($C321*Loss_Constants!$B$2+$D321*Loss_Constants!$B$3+$E321*Loss_Constants!$B$4+$F321*Loss_Constants!$B$5)/100,1)</f>
        <v>15.4</v>
      </c>
      <c r="P321">
        <f>ROUND(($G321*Loss_Constants!$E$2+$H321*Loss_Constants!$E$3+$I321*Loss_Constants!$E$4+$J321*Loss_Constants!$E$5)/100,1)</f>
        <v>4.9000000000000004</v>
      </c>
      <c r="Q321">
        <f t="shared" si="4"/>
        <v>20.3</v>
      </c>
      <c r="R321" t="s">
        <v>45</v>
      </c>
      <c r="S321" t="s">
        <v>46</v>
      </c>
    </row>
    <row r="322" spans="1:19">
      <c r="A322">
        <v>321</v>
      </c>
      <c r="B322" t="s">
        <v>459</v>
      </c>
      <c r="C322">
        <v>15</v>
      </c>
      <c r="D322">
        <v>55</v>
      </c>
      <c r="E322">
        <v>20</v>
      </c>
      <c r="F322">
        <v>10</v>
      </c>
      <c r="G322">
        <v>40</v>
      </c>
      <c r="H322">
        <v>40</v>
      </c>
      <c r="I322">
        <v>15</v>
      </c>
      <c r="J322">
        <v>5</v>
      </c>
      <c r="K322" t="s">
        <v>134</v>
      </c>
      <c r="L322" t="s">
        <v>135</v>
      </c>
      <c r="M322" t="s">
        <v>136</v>
      </c>
      <c r="N322" t="s">
        <v>140</v>
      </c>
      <c r="O322">
        <f>ROUND(($C322*Loss_Constants!$B$2+$D322*Loss_Constants!$B$3+$E322*Loss_Constants!$B$4+$F322*Loss_Constants!$B$5)/100,1)</f>
        <v>6.4</v>
      </c>
      <c r="P322">
        <f>ROUND(($G322*Loss_Constants!$E$2+$H322*Loss_Constants!$E$3+$I322*Loss_Constants!$E$4+$J322*Loss_Constants!$E$5)/100,1)</f>
        <v>3</v>
      </c>
      <c r="Q322">
        <f t="shared" ref="Q322:Q385" si="5">ROUND(O322+P322,1)</f>
        <v>9.4</v>
      </c>
      <c r="R322" t="s">
        <v>61</v>
      </c>
      <c r="S322" t="s">
        <v>62</v>
      </c>
    </row>
    <row r="323" spans="1:19">
      <c r="A323">
        <v>322</v>
      </c>
      <c r="B323" t="s">
        <v>460</v>
      </c>
      <c r="C323">
        <v>20</v>
      </c>
      <c r="D323">
        <v>35</v>
      </c>
      <c r="E323">
        <v>10</v>
      </c>
      <c r="F323">
        <v>35</v>
      </c>
      <c r="G323">
        <v>20</v>
      </c>
      <c r="H323">
        <v>25</v>
      </c>
      <c r="I323">
        <v>35</v>
      </c>
      <c r="J323">
        <v>20</v>
      </c>
      <c r="K323" t="s">
        <v>134</v>
      </c>
      <c r="L323" t="s">
        <v>165</v>
      </c>
      <c r="M323" t="s">
        <v>149</v>
      </c>
      <c r="N323" t="s">
        <v>137</v>
      </c>
      <c r="O323">
        <f>ROUND(($C323*Loss_Constants!$B$2+$D323*Loss_Constants!$B$3+$E323*Loss_Constants!$B$4+$F323*Loss_Constants!$B$5)/100,1)</f>
        <v>10.4</v>
      </c>
      <c r="P323">
        <f>ROUND(($G323*Loss_Constants!$E$2+$H323*Loss_Constants!$E$3+$I323*Loss_Constants!$E$4+$J323*Loss_Constants!$E$5)/100,1)</f>
        <v>5.0999999999999996</v>
      </c>
      <c r="Q323">
        <f t="shared" si="5"/>
        <v>15.5</v>
      </c>
      <c r="R323" t="s">
        <v>53</v>
      </c>
      <c r="S323" t="s">
        <v>54</v>
      </c>
    </row>
    <row r="324" spans="1:19">
      <c r="A324">
        <v>323</v>
      </c>
      <c r="B324" t="s">
        <v>461</v>
      </c>
      <c r="C324">
        <v>20</v>
      </c>
      <c r="D324">
        <v>60</v>
      </c>
      <c r="E324">
        <v>10</v>
      </c>
      <c r="F324">
        <v>10</v>
      </c>
      <c r="G324">
        <v>40</v>
      </c>
      <c r="H324">
        <v>40</v>
      </c>
      <c r="I324">
        <v>15</v>
      </c>
      <c r="J324">
        <v>5</v>
      </c>
      <c r="K324" t="s">
        <v>147</v>
      </c>
      <c r="L324" t="s">
        <v>323</v>
      </c>
      <c r="M324" t="s">
        <v>142</v>
      </c>
      <c r="N324" t="s">
        <v>137</v>
      </c>
      <c r="O324">
        <f>ROUND(($C324*Loss_Constants!$B$2+$D324*Loss_Constants!$B$3+$E324*Loss_Constants!$B$4+$F324*Loss_Constants!$B$5)/100,1)</f>
        <v>6.9</v>
      </c>
      <c r="P324">
        <f>ROUND(($G324*Loss_Constants!$E$2+$H324*Loss_Constants!$E$3+$I324*Loss_Constants!$E$4+$J324*Loss_Constants!$E$5)/100,1)</f>
        <v>3</v>
      </c>
      <c r="Q324">
        <f t="shared" si="5"/>
        <v>9.9</v>
      </c>
      <c r="R324" t="s">
        <v>79</v>
      </c>
      <c r="S324" t="s">
        <v>80</v>
      </c>
    </row>
    <row r="325" spans="1:19">
      <c r="A325">
        <v>324</v>
      </c>
      <c r="B325" t="s">
        <v>462</v>
      </c>
      <c r="C325">
        <v>15</v>
      </c>
      <c r="D325">
        <v>35</v>
      </c>
      <c r="E325">
        <v>20</v>
      </c>
      <c r="F325">
        <v>30</v>
      </c>
      <c r="G325">
        <v>45</v>
      </c>
      <c r="H325">
        <v>30</v>
      </c>
      <c r="I325">
        <v>20</v>
      </c>
      <c r="J325">
        <v>5</v>
      </c>
      <c r="K325" t="s">
        <v>172</v>
      </c>
      <c r="L325" t="s">
        <v>277</v>
      </c>
      <c r="M325" t="s">
        <v>149</v>
      </c>
      <c r="N325" t="s">
        <v>143</v>
      </c>
      <c r="O325">
        <f>ROUND(($C325*Loss_Constants!$B$2+$D325*Loss_Constants!$B$3+$E325*Loss_Constants!$B$4+$F325*Loss_Constants!$B$5)/100,1)</f>
        <v>9.1999999999999993</v>
      </c>
      <c r="P325">
        <f>ROUND(($G325*Loss_Constants!$E$2+$H325*Loss_Constants!$E$3+$I325*Loss_Constants!$E$4+$J325*Loss_Constants!$E$5)/100,1)</f>
        <v>3.1</v>
      </c>
      <c r="Q325">
        <f t="shared" si="5"/>
        <v>12.3</v>
      </c>
      <c r="R325" t="s">
        <v>27</v>
      </c>
      <c r="S325" t="s">
        <v>28</v>
      </c>
    </row>
    <row r="326" spans="1:19">
      <c r="A326">
        <v>325</v>
      </c>
      <c r="B326" t="s">
        <v>463</v>
      </c>
      <c r="C326">
        <v>20</v>
      </c>
      <c r="D326">
        <v>40</v>
      </c>
      <c r="E326">
        <v>30</v>
      </c>
      <c r="F326">
        <v>10</v>
      </c>
      <c r="G326">
        <v>60</v>
      </c>
      <c r="H326">
        <v>25</v>
      </c>
      <c r="I326">
        <v>10</v>
      </c>
      <c r="J326">
        <v>5</v>
      </c>
      <c r="K326" t="s">
        <v>134</v>
      </c>
      <c r="L326" t="s">
        <v>135</v>
      </c>
      <c r="M326" t="s">
        <v>142</v>
      </c>
      <c r="N326" t="s">
        <v>143</v>
      </c>
      <c r="O326">
        <f>ROUND(($C326*Loss_Constants!$B$2+$D326*Loss_Constants!$B$3+$E326*Loss_Constants!$B$4+$F326*Loss_Constants!$B$5)/100,1)</f>
        <v>6.7</v>
      </c>
      <c r="P326">
        <f>ROUND(($G326*Loss_Constants!$E$2+$H326*Loss_Constants!$E$3+$I326*Loss_Constants!$E$4+$J326*Loss_Constants!$E$5)/100,1)</f>
        <v>2.5</v>
      </c>
      <c r="Q326">
        <f t="shared" si="5"/>
        <v>9.1999999999999993</v>
      </c>
      <c r="R326" t="s">
        <v>59</v>
      </c>
      <c r="S326" t="s">
        <v>60</v>
      </c>
    </row>
    <row r="327" spans="1:19">
      <c r="A327">
        <v>326</v>
      </c>
      <c r="B327" t="s">
        <v>464</v>
      </c>
      <c r="C327">
        <v>20</v>
      </c>
      <c r="D327">
        <v>40</v>
      </c>
      <c r="E327">
        <v>30</v>
      </c>
      <c r="F327">
        <v>10</v>
      </c>
      <c r="G327">
        <v>60</v>
      </c>
      <c r="H327">
        <v>25</v>
      </c>
      <c r="I327">
        <v>10</v>
      </c>
      <c r="J327">
        <v>5</v>
      </c>
      <c r="K327" t="s">
        <v>134</v>
      </c>
      <c r="L327" t="s">
        <v>135</v>
      </c>
      <c r="M327" t="s">
        <v>142</v>
      </c>
      <c r="N327" t="s">
        <v>143</v>
      </c>
      <c r="O327">
        <f>ROUND(($C327*Loss_Constants!$B$2+$D327*Loss_Constants!$B$3+$E327*Loss_Constants!$B$4+$F327*Loss_Constants!$B$5)/100,1)</f>
        <v>6.7</v>
      </c>
      <c r="P327">
        <f>ROUND(($G327*Loss_Constants!$E$2+$H327*Loss_Constants!$E$3+$I327*Loss_Constants!$E$4+$J327*Loss_Constants!$E$5)/100,1)</f>
        <v>2.5</v>
      </c>
      <c r="Q327">
        <f t="shared" si="5"/>
        <v>9.1999999999999993</v>
      </c>
      <c r="R327" t="s">
        <v>59</v>
      </c>
      <c r="S327" t="s">
        <v>60</v>
      </c>
    </row>
    <row r="328" spans="1:19">
      <c r="A328">
        <v>327</v>
      </c>
      <c r="B328" t="s">
        <v>465</v>
      </c>
      <c r="C328">
        <v>45</v>
      </c>
      <c r="D328">
        <v>5</v>
      </c>
      <c r="E328">
        <v>5</v>
      </c>
      <c r="F328">
        <v>45</v>
      </c>
      <c r="G328">
        <v>75</v>
      </c>
      <c r="H328">
        <v>15</v>
      </c>
      <c r="I328">
        <v>8</v>
      </c>
      <c r="J328">
        <v>2</v>
      </c>
      <c r="K328" t="s">
        <v>182</v>
      </c>
      <c r="L328" t="s">
        <v>287</v>
      </c>
      <c r="M328" t="s">
        <v>149</v>
      </c>
      <c r="N328" t="s">
        <v>143</v>
      </c>
      <c r="O328">
        <f>ROUND(($C328*Loss_Constants!$B$2+$D328*Loss_Constants!$B$3+$E328*Loss_Constants!$B$4+$F328*Loss_Constants!$B$5)/100,1)</f>
        <v>13.9</v>
      </c>
      <c r="P328">
        <f>ROUND(($G328*Loss_Constants!$E$2+$H328*Loss_Constants!$E$3+$I328*Loss_Constants!$E$4+$J328*Loss_Constants!$E$5)/100,1)</f>
        <v>1.9</v>
      </c>
      <c r="Q328">
        <f t="shared" si="5"/>
        <v>15.8</v>
      </c>
      <c r="R328" t="s">
        <v>77</v>
      </c>
      <c r="S328" t="s">
        <v>78</v>
      </c>
    </row>
    <row r="329" spans="1:19">
      <c r="A329">
        <v>328</v>
      </c>
      <c r="B329" t="s">
        <v>466</v>
      </c>
      <c r="C329">
        <v>35</v>
      </c>
      <c r="D329">
        <v>20</v>
      </c>
      <c r="E329">
        <v>10</v>
      </c>
      <c r="F329">
        <v>35</v>
      </c>
      <c r="G329">
        <v>50</v>
      </c>
      <c r="H329">
        <v>25</v>
      </c>
      <c r="I329">
        <v>20</v>
      </c>
      <c r="J329">
        <v>5</v>
      </c>
      <c r="K329" t="s">
        <v>172</v>
      </c>
      <c r="L329" t="s">
        <v>287</v>
      </c>
      <c r="M329" t="s">
        <v>149</v>
      </c>
      <c r="N329" t="s">
        <v>143</v>
      </c>
      <c r="O329">
        <f>ROUND(($C329*Loss_Constants!$B$2+$D329*Loss_Constants!$B$3+$E329*Loss_Constants!$B$4+$F329*Loss_Constants!$B$5)/100,1)</f>
        <v>11.6</v>
      </c>
      <c r="P329">
        <f>ROUND(($G329*Loss_Constants!$E$2+$H329*Loss_Constants!$E$3+$I329*Loss_Constants!$E$4+$J329*Loss_Constants!$E$5)/100,1)</f>
        <v>3</v>
      </c>
      <c r="Q329">
        <f t="shared" si="5"/>
        <v>14.6</v>
      </c>
      <c r="R329" t="s">
        <v>19</v>
      </c>
      <c r="S329" t="s">
        <v>20</v>
      </c>
    </row>
    <row r="330" spans="1:19">
      <c r="A330">
        <v>329</v>
      </c>
      <c r="B330" t="s">
        <v>467</v>
      </c>
      <c r="C330">
        <v>45</v>
      </c>
      <c r="D330">
        <v>5</v>
      </c>
      <c r="E330">
        <v>5</v>
      </c>
      <c r="F330">
        <v>45</v>
      </c>
      <c r="G330">
        <v>75</v>
      </c>
      <c r="H330">
        <v>15</v>
      </c>
      <c r="I330">
        <v>8</v>
      </c>
      <c r="J330">
        <v>2</v>
      </c>
      <c r="K330" t="s">
        <v>182</v>
      </c>
      <c r="L330" t="s">
        <v>287</v>
      </c>
      <c r="M330" t="s">
        <v>149</v>
      </c>
      <c r="N330" t="s">
        <v>143</v>
      </c>
      <c r="O330">
        <f>ROUND(($C330*Loss_Constants!$B$2+$D330*Loss_Constants!$B$3+$E330*Loss_Constants!$B$4+$F330*Loss_Constants!$B$5)/100,1)</f>
        <v>13.9</v>
      </c>
      <c r="P330">
        <f>ROUND(($G330*Loss_Constants!$E$2+$H330*Loss_Constants!$E$3+$I330*Loss_Constants!$E$4+$J330*Loss_Constants!$E$5)/100,1)</f>
        <v>1.9</v>
      </c>
      <c r="Q330">
        <f t="shared" si="5"/>
        <v>15.8</v>
      </c>
      <c r="R330" t="s">
        <v>77</v>
      </c>
      <c r="S330" t="s">
        <v>78</v>
      </c>
    </row>
    <row r="331" spans="1:19">
      <c r="A331">
        <v>330</v>
      </c>
      <c r="B331" t="s">
        <v>468</v>
      </c>
      <c r="C331">
        <v>25</v>
      </c>
      <c r="D331">
        <v>10</v>
      </c>
      <c r="E331">
        <v>0</v>
      </c>
      <c r="F331">
        <v>65</v>
      </c>
      <c r="G331">
        <v>10</v>
      </c>
      <c r="H331">
        <v>20</v>
      </c>
      <c r="I331">
        <v>30</v>
      </c>
      <c r="J331">
        <v>40</v>
      </c>
      <c r="K331" t="s">
        <v>147</v>
      </c>
      <c r="L331" t="s">
        <v>148</v>
      </c>
      <c r="M331" t="s">
        <v>149</v>
      </c>
      <c r="N331" t="s">
        <v>150</v>
      </c>
      <c r="O331">
        <f>ROUND(($C331*Loss_Constants!$B$2+$D331*Loss_Constants!$B$3+$E331*Loss_Constants!$B$4+$F331*Loss_Constants!$B$5)/100,1)</f>
        <v>15.1</v>
      </c>
      <c r="P331">
        <f>ROUND(($G331*Loss_Constants!$E$2+$H331*Loss_Constants!$E$3+$I331*Loss_Constants!$E$4+$J331*Loss_Constants!$E$5)/100,1)</f>
        <v>6.5</v>
      </c>
      <c r="Q331">
        <f t="shared" si="5"/>
        <v>21.6</v>
      </c>
      <c r="R331" t="s">
        <v>49</v>
      </c>
      <c r="S331" t="s">
        <v>50</v>
      </c>
    </row>
    <row r="332" spans="1:19">
      <c r="A332">
        <v>331</v>
      </c>
      <c r="B332" t="s">
        <v>469</v>
      </c>
      <c r="C332">
        <v>35</v>
      </c>
      <c r="D332">
        <v>20</v>
      </c>
      <c r="E332">
        <v>10</v>
      </c>
      <c r="F332">
        <v>35</v>
      </c>
      <c r="G332">
        <v>50</v>
      </c>
      <c r="H332">
        <v>25</v>
      </c>
      <c r="I332">
        <v>20</v>
      </c>
      <c r="J332">
        <v>5</v>
      </c>
      <c r="K332" t="s">
        <v>172</v>
      </c>
      <c r="L332" t="s">
        <v>287</v>
      </c>
      <c r="M332" t="s">
        <v>149</v>
      </c>
      <c r="N332" t="s">
        <v>143</v>
      </c>
      <c r="O332">
        <f>ROUND(($C332*Loss_Constants!$B$2+$D332*Loss_Constants!$B$3+$E332*Loss_Constants!$B$4+$F332*Loss_Constants!$B$5)/100,1)</f>
        <v>11.6</v>
      </c>
      <c r="P332">
        <f>ROUND(($G332*Loss_Constants!$E$2+$H332*Loss_Constants!$E$3+$I332*Loss_Constants!$E$4+$J332*Loss_Constants!$E$5)/100,1)</f>
        <v>3</v>
      </c>
      <c r="Q332">
        <f t="shared" si="5"/>
        <v>14.6</v>
      </c>
      <c r="R332" t="s">
        <v>19</v>
      </c>
      <c r="S332" t="s">
        <v>20</v>
      </c>
    </row>
    <row r="333" spans="1:19">
      <c r="A333">
        <v>332</v>
      </c>
      <c r="B333" t="s">
        <v>470</v>
      </c>
      <c r="C333">
        <v>20</v>
      </c>
      <c r="D333">
        <v>25</v>
      </c>
      <c r="E333">
        <v>0</v>
      </c>
      <c r="F333">
        <v>55</v>
      </c>
      <c r="G333">
        <v>10</v>
      </c>
      <c r="H333">
        <v>25</v>
      </c>
      <c r="I333">
        <v>35</v>
      </c>
      <c r="J333">
        <v>30</v>
      </c>
      <c r="K333" t="s">
        <v>134</v>
      </c>
      <c r="L333" t="s">
        <v>148</v>
      </c>
      <c r="M333" t="s">
        <v>136</v>
      </c>
      <c r="N333" t="s">
        <v>137</v>
      </c>
      <c r="O333">
        <f>ROUND(($C333*Loss_Constants!$B$2+$D333*Loss_Constants!$B$3+$E333*Loss_Constants!$B$4+$F333*Loss_Constants!$B$5)/100,1)</f>
        <v>13.3</v>
      </c>
      <c r="P333">
        <f>ROUND(($G333*Loss_Constants!$E$2+$H333*Loss_Constants!$E$3+$I333*Loss_Constants!$E$4+$J333*Loss_Constants!$E$5)/100,1)</f>
        <v>6</v>
      </c>
      <c r="Q333">
        <f t="shared" si="5"/>
        <v>19.3</v>
      </c>
      <c r="R333" t="s">
        <v>87</v>
      </c>
      <c r="S333" t="s">
        <v>88</v>
      </c>
    </row>
    <row r="334" spans="1:19">
      <c r="A334">
        <v>333</v>
      </c>
      <c r="B334" t="s">
        <v>471</v>
      </c>
      <c r="C334">
        <v>45</v>
      </c>
      <c r="D334">
        <v>5</v>
      </c>
      <c r="E334">
        <v>5</v>
      </c>
      <c r="F334">
        <v>45</v>
      </c>
      <c r="G334">
        <v>75</v>
      </c>
      <c r="H334">
        <v>15</v>
      </c>
      <c r="I334">
        <v>8</v>
      </c>
      <c r="J334">
        <v>2</v>
      </c>
      <c r="K334" t="s">
        <v>182</v>
      </c>
      <c r="L334" t="s">
        <v>287</v>
      </c>
      <c r="M334" t="s">
        <v>149</v>
      </c>
      <c r="N334" t="s">
        <v>143</v>
      </c>
      <c r="O334">
        <f>ROUND(($C334*Loss_Constants!$B$2+$D334*Loss_Constants!$B$3+$E334*Loss_Constants!$B$4+$F334*Loss_Constants!$B$5)/100,1)</f>
        <v>13.9</v>
      </c>
      <c r="P334">
        <f>ROUND(($G334*Loss_Constants!$E$2+$H334*Loss_Constants!$E$3+$I334*Loss_Constants!$E$4+$J334*Loss_Constants!$E$5)/100,1)</f>
        <v>1.9</v>
      </c>
      <c r="Q334">
        <f t="shared" si="5"/>
        <v>15.8</v>
      </c>
      <c r="R334" t="s">
        <v>77</v>
      </c>
      <c r="S334" t="s">
        <v>78</v>
      </c>
    </row>
    <row r="335" spans="1:19">
      <c r="A335">
        <v>334</v>
      </c>
      <c r="B335" t="s">
        <v>472</v>
      </c>
      <c r="C335">
        <v>25</v>
      </c>
      <c r="D335">
        <v>45</v>
      </c>
      <c r="E335">
        <v>15</v>
      </c>
      <c r="F335">
        <v>15</v>
      </c>
      <c r="G335">
        <v>60</v>
      </c>
      <c r="H335">
        <v>25</v>
      </c>
      <c r="I335">
        <v>10</v>
      </c>
      <c r="J335">
        <v>5</v>
      </c>
      <c r="K335" t="s">
        <v>172</v>
      </c>
      <c r="L335" t="s">
        <v>287</v>
      </c>
      <c r="M335" t="s">
        <v>136</v>
      </c>
      <c r="N335" t="s">
        <v>137</v>
      </c>
      <c r="O335">
        <f>ROUND(($C335*Loss_Constants!$B$2+$D335*Loss_Constants!$B$3+$E335*Loss_Constants!$B$4+$F335*Loss_Constants!$B$5)/100,1)</f>
        <v>8</v>
      </c>
      <c r="P335">
        <f>ROUND(($G335*Loss_Constants!$E$2+$H335*Loss_Constants!$E$3+$I335*Loss_Constants!$E$4+$J335*Loss_Constants!$E$5)/100,1)</f>
        <v>2.5</v>
      </c>
      <c r="Q335">
        <f t="shared" si="5"/>
        <v>10.5</v>
      </c>
      <c r="R335" t="s">
        <v>63</v>
      </c>
      <c r="S335" t="s">
        <v>64</v>
      </c>
    </row>
    <row r="336" spans="1:19">
      <c r="A336">
        <v>335</v>
      </c>
      <c r="B336" t="s">
        <v>473</v>
      </c>
      <c r="C336">
        <v>25</v>
      </c>
      <c r="D336">
        <v>45</v>
      </c>
      <c r="E336">
        <v>15</v>
      </c>
      <c r="F336">
        <v>15</v>
      </c>
      <c r="G336">
        <v>60</v>
      </c>
      <c r="H336">
        <v>25</v>
      </c>
      <c r="I336">
        <v>10</v>
      </c>
      <c r="J336">
        <v>5</v>
      </c>
      <c r="K336" t="s">
        <v>172</v>
      </c>
      <c r="L336" t="s">
        <v>287</v>
      </c>
      <c r="M336" t="s">
        <v>136</v>
      </c>
      <c r="N336" t="s">
        <v>137</v>
      </c>
      <c r="O336">
        <f>ROUND(($C336*Loss_Constants!$B$2+$D336*Loss_Constants!$B$3+$E336*Loss_Constants!$B$4+$F336*Loss_Constants!$B$5)/100,1)</f>
        <v>8</v>
      </c>
      <c r="P336">
        <f>ROUND(($G336*Loss_Constants!$E$2+$H336*Loss_Constants!$E$3+$I336*Loss_Constants!$E$4+$J336*Loss_Constants!$E$5)/100,1)</f>
        <v>2.5</v>
      </c>
      <c r="Q336">
        <f t="shared" si="5"/>
        <v>10.5</v>
      </c>
      <c r="R336" t="s">
        <v>63</v>
      </c>
      <c r="S336" t="s">
        <v>64</v>
      </c>
    </row>
    <row r="337" spans="1:19">
      <c r="A337">
        <v>336</v>
      </c>
      <c r="B337" t="s">
        <v>474</v>
      </c>
      <c r="C337">
        <v>20</v>
      </c>
      <c r="D337">
        <v>50</v>
      </c>
      <c r="E337">
        <v>20</v>
      </c>
      <c r="F337">
        <v>10</v>
      </c>
      <c r="G337">
        <v>45</v>
      </c>
      <c r="H337">
        <v>35</v>
      </c>
      <c r="I337">
        <v>15</v>
      </c>
      <c r="J337">
        <v>5</v>
      </c>
      <c r="K337" t="s">
        <v>134</v>
      </c>
      <c r="L337" t="s">
        <v>284</v>
      </c>
      <c r="M337" t="s">
        <v>136</v>
      </c>
      <c r="N337" t="s">
        <v>140</v>
      </c>
      <c r="O337">
        <f>ROUND(($C337*Loss_Constants!$B$2+$D337*Loss_Constants!$B$3+$E337*Loss_Constants!$B$4+$F337*Loss_Constants!$B$5)/100,1)</f>
        <v>6.8</v>
      </c>
      <c r="P337">
        <f>ROUND(($G337*Loss_Constants!$E$2+$H337*Loss_Constants!$E$3+$I337*Loss_Constants!$E$4+$J337*Loss_Constants!$E$5)/100,1)</f>
        <v>2.9</v>
      </c>
      <c r="Q337">
        <f t="shared" si="5"/>
        <v>9.6999999999999993</v>
      </c>
      <c r="R337" t="s">
        <v>25</v>
      </c>
      <c r="S337" t="s">
        <v>26</v>
      </c>
    </row>
    <row r="338" spans="1:19">
      <c r="A338">
        <v>337</v>
      </c>
      <c r="B338" t="s">
        <v>475</v>
      </c>
      <c r="C338">
        <v>20</v>
      </c>
      <c r="D338">
        <v>25</v>
      </c>
      <c r="E338">
        <v>0</v>
      </c>
      <c r="F338">
        <v>55</v>
      </c>
      <c r="G338">
        <v>10</v>
      </c>
      <c r="H338">
        <v>25</v>
      </c>
      <c r="I338">
        <v>35</v>
      </c>
      <c r="J338">
        <v>30</v>
      </c>
      <c r="K338" t="s">
        <v>134</v>
      </c>
      <c r="L338" t="s">
        <v>148</v>
      </c>
      <c r="M338" t="s">
        <v>136</v>
      </c>
      <c r="N338" t="s">
        <v>137</v>
      </c>
      <c r="O338">
        <f>ROUND(($C338*Loss_Constants!$B$2+$D338*Loss_Constants!$B$3+$E338*Loss_Constants!$B$4+$F338*Loss_Constants!$B$5)/100,1)</f>
        <v>13.3</v>
      </c>
      <c r="P338">
        <f>ROUND(($G338*Loss_Constants!$E$2+$H338*Loss_Constants!$E$3+$I338*Loss_Constants!$E$4+$J338*Loss_Constants!$E$5)/100,1)</f>
        <v>6</v>
      </c>
      <c r="Q338">
        <f t="shared" si="5"/>
        <v>19.3</v>
      </c>
      <c r="R338" t="s">
        <v>87</v>
      </c>
      <c r="S338" t="s">
        <v>88</v>
      </c>
    </row>
    <row r="339" spans="1:19">
      <c r="A339">
        <v>338</v>
      </c>
      <c r="B339" t="s">
        <v>476</v>
      </c>
      <c r="C339">
        <v>15</v>
      </c>
      <c r="D339">
        <v>45</v>
      </c>
      <c r="E339">
        <v>15</v>
      </c>
      <c r="F339">
        <v>25</v>
      </c>
      <c r="G339">
        <v>35</v>
      </c>
      <c r="H339">
        <v>35</v>
      </c>
      <c r="I339">
        <v>20</v>
      </c>
      <c r="J339">
        <v>10</v>
      </c>
      <c r="K339" t="s">
        <v>134</v>
      </c>
      <c r="L339" t="s">
        <v>135</v>
      </c>
      <c r="M339" t="s">
        <v>136</v>
      </c>
      <c r="N339" t="s">
        <v>140</v>
      </c>
      <c r="O339">
        <f>ROUND(($C339*Loss_Constants!$B$2+$D339*Loss_Constants!$B$3+$E339*Loss_Constants!$B$4+$F339*Loss_Constants!$B$5)/100,1)</f>
        <v>8.6</v>
      </c>
      <c r="P339">
        <f>ROUND(($G339*Loss_Constants!$E$2+$H339*Loss_Constants!$E$3+$I339*Loss_Constants!$E$4+$J339*Loss_Constants!$E$5)/100,1)</f>
        <v>3.6</v>
      </c>
      <c r="Q339">
        <f t="shared" si="5"/>
        <v>12.2</v>
      </c>
      <c r="R339" t="s">
        <v>11</v>
      </c>
      <c r="S339" t="s">
        <v>12</v>
      </c>
    </row>
    <row r="340" spans="1:19">
      <c r="A340">
        <v>339</v>
      </c>
      <c r="B340" t="s">
        <v>477</v>
      </c>
      <c r="C340">
        <v>25</v>
      </c>
      <c r="D340">
        <v>35</v>
      </c>
      <c r="E340">
        <v>15</v>
      </c>
      <c r="F340">
        <v>25</v>
      </c>
      <c r="G340">
        <v>65</v>
      </c>
      <c r="H340">
        <v>20</v>
      </c>
      <c r="I340">
        <v>10</v>
      </c>
      <c r="J340">
        <v>5</v>
      </c>
      <c r="K340" t="s">
        <v>172</v>
      </c>
      <c r="L340" t="s">
        <v>287</v>
      </c>
      <c r="M340" t="s">
        <v>136</v>
      </c>
      <c r="N340" t="s">
        <v>137</v>
      </c>
      <c r="O340">
        <f>ROUND(($C340*Loss_Constants!$B$2+$D340*Loss_Constants!$B$3+$E340*Loss_Constants!$B$4+$F340*Loss_Constants!$B$5)/100,1)</f>
        <v>9.4</v>
      </c>
      <c r="P340">
        <f>ROUND(($G340*Loss_Constants!$E$2+$H340*Loss_Constants!$E$3+$I340*Loss_Constants!$E$4+$J340*Loss_Constants!$E$5)/100,1)</f>
        <v>2.4</v>
      </c>
      <c r="Q340">
        <f t="shared" si="5"/>
        <v>11.8</v>
      </c>
      <c r="R340" t="s">
        <v>93</v>
      </c>
      <c r="S340" t="s">
        <v>94</v>
      </c>
    </row>
    <row r="341" spans="1:19">
      <c r="A341">
        <v>340</v>
      </c>
      <c r="B341" t="s">
        <v>478</v>
      </c>
      <c r="C341">
        <v>20</v>
      </c>
      <c r="D341">
        <v>40</v>
      </c>
      <c r="E341">
        <v>30</v>
      </c>
      <c r="F341">
        <v>10</v>
      </c>
      <c r="G341">
        <v>60</v>
      </c>
      <c r="H341">
        <v>25</v>
      </c>
      <c r="I341">
        <v>10</v>
      </c>
      <c r="J341">
        <v>5</v>
      </c>
      <c r="K341" t="s">
        <v>134</v>
      </c>
      <c r="L341" t="s">
        <v>135</v>
      </c>
      <c r="M341" t="s">
        <v>142</v>
      </c>
      <c r="N341" t="s">
        <v>143</v>
      </c>
      <c r="O341">
        <f>ROUND(($C341*Loss_Constants!$B$2+$D341*Loss_Constants!$B$3+$E341*Loss_Constants!$B$4+$F341*Loss_Constants!$B$5)/100,1)</f>
        <v>6.7</v>
      </c>
      <c r="P341">
        <f>ROUND(($G341*Loss_Constants!$E$2+$H341*Loss_Constants!$E$3+$I341*Loss_Constants!$E$4+$J341*Loss_Constants!$E$5)/100,1)</f>
        <v>2.5</v>
      </c>
      <c r="Q341">
        <f t="shared" si="5"/>
        <v>9.1999999999999993</v>
      </c>
      <c r="R341" t="s">
        <v>59</v>
      </c>
      <c r="S341" t="s">
        <v>60</v>
      </c>
    </row>
    <row r="342" spans="1:19">
      <c r="A342">
        <v>341</v>
      </c>
      <c r="B342" t="s">
        <v>479</v>
      </c>
      <c r="C342">
        <v>20</v>
      </c>
      <c r="D342">
        <v>50</v>
      </c>
      <c r="E342">
        <v>20</v>
      </c>
      <c r="F342">
        <v>10</v>
      </c>
      <c r="G342">
        <v>45</v>
      </c>
      <c r="H342">
        <v>35</v>
      </c>
      <c r="I342">
        <v>15</v>
      </c>
      <c r="J342">
        <v>5</v>
      </c>
      <c r="K342" t="s">
        <v>134</v>
      </c>
      <c r="L342" t="s">
        <v>284</v>
      </c>
      <c r="M342" t="s">
        <v>136</v>
      </c>
      <c r="N342" t="s">
        <v>140</v>
      </c>
      <c r="O342">
        <f>ROUND(($C342*Loss_Constants!$B$2+$D342*Loss_Constants!$B$3+$E342*Loss_Constants!$B$4+$F342*Loss_Constants!$B$5)/100,1)</f>
        <v>6.8</v>
      </c>
      <c r="P342">
        <f>ROUND(($G342*Loss_Constants!$E$2+$H342*Loss_Constants!$E$3+$I342*Loss_Constants!$E$4+$J342*Loss_Constants!$E$5)/100,1)</f>
        <v>2.9</v>
      </c>
      <c r="Q342">
        <f t="shared" si="5"/>
        <v>9.6999999999999993</v>
      </c>
      <c r="R342" t="s">
        <v>25</v>
      </c>
      <c r="S342" t="s">
        <v>26</v>
      </c>
    </row>
    <row r="343" spans="1:19">
      <c r="A343">
        <v>342</v>
      </c>
      <c r="B343" t="s">
        <v>480</v>
      </c>
      <c r="C343">
        <v>20</v>
      </c>
      <c r="D343">
        <v>30</v>
      </c>
      <c r="E343">
        <v>5</v>
      </c>
      <c r="F343">
        <v>45</v>
      </c>
      <c r="G343">
        <v>15</v>
      </c>
      <c r="H343">
        <v>30</v>
      </c>
      <c r="I343">
        <v>35</v>
      </c>
      <c r="J343">
        <v>20</v>
      </c>
      <c r="K343" t="s">
        <v>134</v>
      </c>
      <c r="L343" t="s">
        <v>135</v>
      </c>
      <c r="M343" t="s">
        <v>149</v>
      </c>
      <c r="N343" t="s">
        <v>137</v>
      </c>
      <c r="O343">
        <f>ROUND(($C343*Loss_Constants!$B$2+$D343*Loss_Constants!$B$3+$E343*Loss_Constants!$B$4+$F343*Loss_Constants!$B$5)/100,1)</f>
        <v>11.9</v>
      </c>
      <c r="P343">
        <f>ROUND(($G343*Loss_Constants!$E$2+$H343*Loss_Constants!$E$3+$I343*Loss_Constants!$E$4+$J343*Loss_Constants!$E$5)/100,1)</f>
        <v>5.2</v>
      </c>
      <c r="Q343">
        <f t="shared" si="5"/>
        <v>17.100000000000001</v>
      </c>
      <c r="R343" t="s">
        <v>51</v>
      </c>
      <c r="S343" t="s">
        <v>52</v>
      </c>
    </row>
    <row r="344" spans="1:19">
      <c r="A344">
        <v>343</v>
      </c>
      <c r="B344" t="s">
        <v>481</v>
      </c>
      <c r="C344">
        <v>35</v>
      </c>
      <c r="D344">
        <v>35</v>
      </c>
      <c r="E344">
        <v>5</v>
      </c>
      <c r="F344">
        <v>25</v>
      </c>
      <c r="G344">
        <v>25</v>
      </c>
      <c r="H344">
        <v>30</v>
      </c>
      <c r="I344">
        <v>30</v>
      </c>
      <c r="J344">
        <v>15</v>
      </c>
      <c r="K344" t="s">
        <v>134</v>
      </c>
      <c r="L344" t="s">
        <v>135</v>
      </c>
      <c r="M344" t="s">
        <v>179</v>
      </c>
      <c r="N344" t="s">
        <v>137</v>
      </c>
      <c r="O344">
        <f>ROUND(($C344*Loss_Constants!$B$2+$D344*Loss_Constants!$B$3+$E344*Loss_Constants!$B$4+$F344*Loss_Constants!$B$5)/100,1)</f>
        <v>10.3</v>
      </c>
      <c r="P344">
        <f>ROUND(($G344*Loss_Constants!$E$2+$H344*Loss_Constants!$E$3+$I344*Loss_Constants!$E$4+$J344*Loss_Constants!$E$5)/100,1)</f>
        <v>4.5</v>
      </c>
      <c r="Q344">
        <f t="shared" si="5"/>
        <v>14.8</v>
      </c>
      <c r="R344" t="s">
        <v>83</v>
      </c>
      <c r="S344" t="s">
        <v>84</v>
      </c>
    </row>
    <row r="345" spans="1:19">
      <c r="A345">
        <v>344</v>
      </c>
      <c r="B345" t="s">
        <v>482</v>
      </c>
      <c r="C345">
        <v>35</v>
      </c>
      <c r="D345">
        <v>35</v>
      </c>
      <c r="E345">
        <v>5</v>
      </c>
      <c r="F345">
        <v>25</v>
      </c>
      <c r="G345">
        <v>25</v>
      </c>
      <c r="H345">
        <v>30</v>
      </c>
      <c r="I345">
        <v>30</v>
      </c>
      <c r="J345">
        <v>15</v>
      </c>
      <c r="K345" t="s">
        <v>134</v>
      </c>
      <c r="L345" t="s">
        <v>135</v>
      </c>
      <c r="M345" t="s">
        <v>179</v>
      </c>
      <c r="N345" t="s">
        <v>137</v>
      </c>
      <c r="O345">
        <f>ROUND(($C345*Loss_Constants!$B$2+$D345*Loss_Constants!$B$3+$E345*Loss_Constants!$B$4+$F345*Loss_Constants!$B$5)/100,1)</f>
        <v>10.3</v>
      </c>
      <c r="P345">
        <f>ROUND(($G345*Loss_Constants!$E$2+$H345*Loss_Constants!$E$3+$I345*Loss_Constants!$E$4+$J345*Loss_Constants!$E$5)/100,1)</f>
        <v>4.5</v>
      </c>
      <c r="Q345">
        <f t="shared" si="5"/>
        <v>14.8</v>
      </c>
      <c r="R345" t="s">
        <v>83</v>
      </c>
      <c r="S345" t="s">
        <v>84</v>
      </c>
    </row>
    <row r="346" spans="1:19">
      <c r="A346">
        <v>345</v>
      </c>
      <c r="B346" t="s">
        <v>483</v>
      </c>
      <c r="C346">
        <v>35</v>
      </c>
      <c r="D346">
        <v>35</v>
      </c>
      <c r="E346">
        <v>5</v>
      </c>
      <c r="F346">
        <v>25</v>
      </c>
      <c r="G346">
        <v>25</v>
      </c>
      <c r="H346">
        <v>30</v>
      </c>
      <c r="I346">
        <v>30</v>
      </c>
      <c r="J346">
        <v>15</v>
      </c>
      <c r="K346" t="s">
        <v>134</v>
      </c>
      <c r="L346" t="s">
        <v>135</v>
      </c>
      <c r="M346" t="s">
        <v>179</v>
      </c>
      <c r="N346" t="s">
        <v>137</v>
      </c>
      <c r="O346">
        <f>ROUND(($C346*Loss_Constants!$B$2+$D346*Loss_Constants!$B$3+$E346*Loss_Constants!$B$4+$F346*Loss_Constants!$B$5)/100,1)</f>
        <v>10.3</v>
      </c>
      <c r="P346">
        <f>ROUND(($G346*Loss_Constants!$E$2+$H346*Loss_Constants!$E$3+$I346*Loss_Constants!$E$4+$J346*Loss_Constants!$E$5)/100,1)</f>
        <v>4.5</v>
      </c>
      <c r="Q346">
        <f t="shared" si="5"/>
        <v>14.8</v>
      </c>
      <c r="R346" t="s">
        <v>83</v>
      </c>
      <c r="S346" t="s">
        <v>84</v>
      </c>
    </row>
    <row r="347" spans="1:19">
      <c r="A347">
        <v>346</v>
      </c>
      <c r="B347" t="s">
        <v>484</v>
      </c>
      <c r="C347">
        <v>35</v>
      </c>
      <c r="D347">
        <v>35</v>
      </c>
      <c r="E347">
        <v>5</v>
      </c>
      <c r="F347">
        <v>25</v>
      </c>
      <c r="G347">
        <v>25</v>
      </c>
      <c r="H347">
        <v>30</v>
      </c>
      <c r="I347">
        <v>30</v>
      </c>
      <c r="J347">
        <v>15</v>
      </c>
      <c r="K347" t="s">
        <v>134</v>
      </c>
      <c r="L347" t="s">
        <v>135</v>
      </c>
      <c r="M347" t="s">
        <v>179</v>
      </c>
      <c r="N347" t="s">
        <v>137</v>
      </c>
      <c r="O347">
        <f>ROUND(($C347*Loss_Constants!$B$2+$D347*Loss_Constants!$B$3+$E347*Loss_Constants!$B$4+$F347*Loss_Constants!$B$5)/100,1)</f>
        <v>10.3</v>
      </c>
      <c r="P347">
        <f>ROUND(($G347*Loss_Constants!$E$2+$H347*Loss_Constants!$E$3+$I347*Loss_Constants!$E$4+$J347*Loss_Constants!$E$5)/100,1)</f>
        <v>4.5</v>
      </c>
      <c r="Q347">
        <f t="shared" si="5"/>
        <v>14.8</v>
      </c>
      <c r="R347" t="s">
        <v>83</v>
      </c>
      <c r="S347" t="s">
        <v>84</v>
      </c>
    </row>
    <row r="348" spans="1:19">
      <c r="A348">
        <v>347</v>
      </c>
      <c r="B348" t="s">
        <v>485</v>
      </c>
      <c r="C348">
        <v>25</v>
      </c>
      <c r="D348">
        <v>20</v>
      </c>
      <c r="E348">
        <v>10</v>
      </c>
      <c r="F348">
        <v>45</v>
      </c>
      <c r="G348">
        <v>65</v>
      </c>
      <c r="H348">
        <v>20</v>
      </c>
      <c r="I348">
        <v>10</v>
      </c>
      <c r="J348">
        <v>5</v>
      </c>
      <c r="K348" t="s">
        <v>172</v>
      </c>
      <c r="L348" t="s">
        <v>287</v>
      </c>
      <c r="M348" t="s">
        <v>149</v>
      </c>
      <c r="N348" t="s">
        <v>174</v>
      </c>
      <c r="O348">
        <f>ROUND(($C348*Loss_Constants!$B$2+$D348*Loss_Constants!$B$3+$E348*Loss_Constants!$B$4+$F348*Loss_Constants!$B$5)/100,1)</f>
        <v>12.2</v>
      </c>
      <c r="P348">
        <f>ROUND(($G348*Loss_Constants!$E$2+$H348*Loss_Constants!$E$3+$I348*Loss_Constants!$E$4+$J348*Loss_Constants!$E$5)/100,1)</f>
        <v>2.4</v>
      </c>
      <c r="Q348">
        <f t="shared" si="5"/>
        <v>14.6</v>
      </c>
      <c r="R348" t="s">
        <v>33</v>
      </c>
      <c r="S348" t="s">
        <v>34</v>
      </c>
    </row>
    <row r="349" spans="1:19">
      <c r="A349">
        <v>348</v>
      </c>
      <c r="B349" t="s">
        <v>486</v>
      </c>
      <c r="C349">
        <v>25</v>
      </c>
      <c r="D349">
        <v>20</v>
      </c>
      <c r="E349">
        <v>10</v>
      </c>
      <c r="F349">
        <v>45</v>
      </c>
      <c r="G349">
        <v>65</v>
      </c>
      <c r="H349">
        <v>20</v>
      </c>
      <c r="I349">
        <v>10</v>
      </c>
      <c r="J349">
        <v>5</v>
      </c>
      <c r="K349" t="s">
        <v>172</v>
      </c>
      <c r="L349" t="s">
        <v>287</v>
      </c>
      <c r="M349" t="s">
        <v>149</v>
      </c>
      <c r="N349" t="s">
        <v>174</v>
      </c>
      <c r="O349">
        <f>ROUND(($C349*Loss_Constants!$B$2+$D349*Loss_Constants!$B$3+$E349*Loss_Constants!$B$4+$F349*Loss_Constants!$B$5)/100,1)</f>
        <v>12.2</v>
      </c>
      <c r="P349">
        <f>ROUND(($G349*Loss_Constants!$E$2+$H349*Loss_Constants!$E$3+$I349*Loss_Constants!$E$4+$J349*Loss_Constants!$E$5)/100,1)</f>
        <v>2.4</v>
      </c>
      <c r="Q349">
        <f t="shared" si="5"/>
        <v>14.6</v>
      </c>
      <c r="R349" t="s">
        <v>33</v>
      </c>
      <c r="S349" t="s">
        <v>34</v>
      </c>
    </row>
  </sheetData>
  <conditionalFormatting sqref="Q2:Q349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B06B-A250-4339-8632-FF23CBD784C9}">
  <dimension ref="A1:I480"/>
  <sheetViews>
    <sheetView tabSelected="1" workbookViewId="0">
      <selection activeCell="H30" sqref="H30"/>
    </sheetView>
  </sheetViews>
  <sheetFormatPr defaultRowHeight="14.25"/>
  <cols>
    <col min="1" max="1" width="7.375" bestFit="1" customWidth="1"/>
    <col min="2" max="2" width="12.625" bestFit="1" customWidth="1"/>
    <col min="3" max="3" width="21.75" bestFit="1" customWidth="1"/>
    <col min="4" max="4" width="30.5" bestFit="1" customWidth="1"/>
    <col min="5" max="5" width="16.625" bestFit="1" customWidth="1"/>
    <col min="6" max="6" width="34.125" bestFit="1" customWidth="1"/>
    <col min="7" max="7" width="16.125" bestFit="1" customWidth="1"/>
    <col min="8" max="8" width="31.875" bestFit="1" customWidth="1"/>
    <col min="9" max="9" width="113" bestFit="1" customWidth="1"/>
  </cols>
  <sheetData>
    <row r="1" spans="1:9">
      <c r="A1" t="s">
        <v>509</v>
      </c>
      <c r="B1" s="7" t="s">
        <v>510</v>
      </c>
      <c r="C1" s="7" t="s">
        <v>511</v>
      </c>
      <c r="D1" s="7" t="s">
        <v>95</v>
      </c>
      <c r="E1" t="s">
        <v>690</v>
      </c>
      <c r="F1" s="8" t="s">
        <v>691</v>
      </c>
      <c r="G1" t="s">
        <v>692</v>
      </c>
      <c r="H1" t="s">
        <v>693</v>
      </c>
      <c r="I1" t="s">
        <v>590</v>
      </c>
    </row>
    <row r="2" spans="1:9">
      <c r="A2">
        <v>1</v>
      </c>
      <c r="B2" t="s">
        <v>512</v>
      </c>
      <c r="C2" t="s">
        <v>513</v>
      </c>
      <c r="D2" t="s">
        <v>133</v>
      </c>
      <c r="E2">
        <v>50</v>
      </c>
      <c r="F2" t="s">
        <v>694</v>
      </c>
      <c r="G2" t="s">
        <v>695</v>
      </c>
      <c r="H2" t="s">
        <v>696</v>
      </c>
      <c r="I2" t="s">
        <v>591</v>
      </c>
    </row>
    <row r="3" spans="1:9">
      <c r="A3">
        <v>2</v>
      </c>
      <c r="B3" t="s">
        <v>512</v>
      </c>
      <c r="C3" t="s">
        <v>513</v>
      </c>
      <c r="D3" t="s">
        <v>138</v>
      </c>
      <c r="E3">
        <v>8</v>
      </c>
      <c r="F3" t="s">
        <v>697</v>
      </c>
      <c r="G3" t="s">
        <v>695</v>
      </c>
      <c r="H3" t="s">
        <v>698</v>
      </c>
      <c r="I3" t="s">
        <v>592</v>
      </c>
    </row>
    <row r="4" spans="1:9">
      <c r="A4">
        <v>3</v>
      </c>
      <c r="B4" t="s">
        <v>512</v>
      </c>
      <c r="C4" t="s">
        <v>513</v>
      </c>
      <c r="D4" t="s">
        <v>139</v>
      </c>
      <c r="E4">
        <v>12</v>
      </c>
      <c r="F4" t="s">
        <v>694</v>
      </c>
      <c r="G4" t="s">
        <v>699</v>
      </c>
      <c r="H4" t="s">
        <v>700</v>
      </c>
      <c r="I4" t="s">
        <v>593</v>
      </c>
    </row>
    <row r="5" spans="1:9">
      <c r="A5">
        <v>4</v>
      </c>
      <c r="B5" t="s">
        <v>512</v>
      </c>
      <c r="C5" t="s">
        <v>513</v>
      </c>
      <c r="D5" t="s">
        <v>141</v>
      </c>
      <c r="E5">
        <v>10</v>
      </c>
      <c r="F5" t="s">
        <v>694</v>
      </c>
      <c r="G5" t="s">
        <v>699</v>
      </c>
      <c r="H5" t="s">
        <v>700</v>
      </c>
      <c r="I5" t="s">
        <v>593</v>
      </c>
    </row>
    <row r="6" spans="1:9">
      <c r="A6">
        <v>5</v>
      </c>
      <c r="B6" t="s">
        <v>512</v>
      </c>
      <c r="C6" t="s">
        <v>513</v>
      </c>
      <c r="D6" t="s">
        <v>144</v>
      </c>
      <c r="E6">
        <v>5</v>
      </c>
      <c r="F6" t="s">
        <v>694</v>
      </c>
      <c r="G6" t="s">
        <v>699</v>
      </c>
      <c r="H6" t="s">
        <v>700</v>
      </c>
      <c r="I6" t="s">
        <v>593</v>
      </c>
    </row>
    <row r="7" spans="1:9">
      <c r="A7">
        <v>6</v>
      </c>
      <c r="B7" t="s">
        <v>512</v>
      </c>
      <c r="C7" t="s">
        <v>513</v>
      </c>
      <c r="D7" t="s">
        <v>145</v>
      </c>
      <c r="E7">
        <v>5</v>
      </c>
      <c r="F7" t="s">
        <v>694</v>
      </c>
      <c r="G7" t="s">
        <v>699</v>
      </c>
      <c r="H7" t="s">
        <v>700</v>
      </c>
      <c r="I7" t="s">
        <v>593</v>
      </c>
    </row>
    <row r="8" spans="1:9">
      <c r="A8">
        <v>7</v>
      </c>
      <c r="B8" t="s">
        <v>512</v>
      </c>
      <c r="C8" t="s">
        <v>513</v>
      </c>
      <c r="D8" t="s">
        <v>146</v>
      </c>
      <c r="E8">
        <v>5</v>
      </c>
      <c r="F8" t="s">
        <v>701</v>
      </c>
      <c r="G8" t="s">
        <v>495</v>
      </c>
      <c r="H8" t="s">
        <v>702</v>
      </c>
      <c r="I8" t="s">
        <v>594</v>
      </c>
    </row>
    <row r="9" spans="1:9">
      <c r="A9">
        <v>8</v>
      </c>
      <c r="B9" t="s">
        <v>512</v>
      </c>
      <c r="C9" t="s">
        <v>513</v>
      </c>
      <c r="D9" t="s">
        <v>151</v>
      </c>
      <c r="E9">
        <v>5</v>
      </c>
      <c r="F9" t="s">
        <v>694</v>
      </c>
      <c r="G9" t="s">
        <v>699</v>
      </c>
      <c r="H9" t="s">
        <v>700</v>
      </c>
      <c r="I9" t="s">
        <v>593</v>
      </c>
    </row>
    <row r="10" spans="1:9">
      <c r="A10">
        <v>9</v>
      </c>
      <c r="B10" t="s">
        <v>512</v>
      </c>
      <c r="C10" t="s">
        <v>514</v>
      </c>
      <c r="D10" t="s">
        <v>152</v>
      </c>
      <c r="E10">
        <v>55</v>
      </c>
      <c r="F10" t="s">
        <v>694</v>
      </c>
      <c r="G10" t="s">
        <v>695</v>
      </c>
      <c r="H10" t="s">
        <v>696</v>
      </c>
      <c r="I10" t="s">
        <v>591</v>
      </c>
    </row>
    <row r="11" spans="1:9">
      <c r="A11">
        <v>10</v>
      </c>
      <c r="B11" t="s">
        <v>512</v>
      </c>
      <c r="C11" t="s">
        <v>514</v>
      </c>
      <c r="D11" t="s">
        <v>153</v>
      </c>
      <c r="E11">
        <v>10</v>
      </c>
      <c r="F11" t="s">
        <v>697</v>
      </c>
      <c r="G11" t="s">
        <v>695</v>
      </c>
      <c r="H11" t="s">
        <v>698</v>
      </c>
      <c r="I11" t="s">
        <v>592</v>
      </c>
    </row>
    <row r="12" spans="1:9">
      <c r="A12">
        <v>11</v>
      </c>
      <c r="B12" t="s">
        <v>512</v>
      </c>
      <c r="C12" t="s">
        <v>514</v>
      </c>
      <c r="D12" t="s">
        <v>139</v>
      </c>
      <c r="E12">
        <v>10</v>
      </c>
      <c r="F12" t="s">
        <v>694</v>
      </c>
      <c r="G12" t="s">
        <v>699</v>
      </c>
      <c r="H12" t="s">
        <v>700</v>
      </c>
      <c r="I12" t="s">
        <v>593</v>
      </c>
    </row>
    <row r="13" spans="1:9">
      <c r="A13">
        <v>12</v>
      </c>
      <c r="B13" t="s">
        <v>512</v>
      </c>
      <c r="C13" t="s">
        <v>514</v>
      </c>
      <c r="D13" t="s">
        <v>154</v>
      </c>
      <c r="E13">
        <v>8</v>
      </c>
      <c r="F13" t="s">
        <v>694</v>
      </c>
      <c r="G13" t="s">
        <v>699</v>
      </c>
      <c r="H13" t="s">
        <v>700</v>
      </c>
      <c r="I13" t="s">
        <v>593</v>
      </c>
    </row>
    <row r="14" spans="1:9">
      <c r="A14">
        <v>13</v>
      </c>
      <c r="B14" t="s">
        <v>512</v>
      </c>
      <c r="C14" t="s">
        <v>514</v>
      </c>
      <c r="D14" t="s">
        <v>144</v>
      </c>
      <c r="E14">
        <v>4</v>
      </c>
      <c r="F14" t="s">
        <v>694</v>
      </c>
      <c r="G14" t="s">
        <v>699</v>
      </c>
      <c r="H14" t="s">
        <v>700</v>
      </c>
      <c r="I14" t="s">
        <v>593</v>
      </c>
    </row>
    <row r="15" spans="1:9">
      <c r="A15">
        <v>14</v>
      </c>
      <c r="B15" t="s">
        <v>512</v>
      </c>
      <c r="C15" t="s">
        <v>514</v>
      </c>
      <c r="D15" t="s">
        <v>145</v>
      </c>
      <c r="E15">
        <v>5</v>
      </c>
      <c r="F15" t="s">
        <v>694</v>
      </c>
      <c r="G15" t="s">
        <v>699</v>
      </c>
      <c r="H15" t="s">
        <v>700</v>
      </c>
      <c r="I15" t="s">
        <v>593</v>
      </c>
    </row>
    <row r="16" spans="1:9">
      <c r="A16">
        <v>15</v>
      </c>
      <c r="B16" t="s">
        <v>512</v>
      </c>
      <c r="C16" t="s">
        <v>514</v>
      </c>
      <c r="D16" t="s">
        <v>146</v>
      </c>
      <c r="E16">
        <v>4</v>
      </c>
      <c r="F16" t="s">
        <v>701</v>
      </c>
      <c r="G16" t="s">
        <v>495</v>
      </c>
      <c r="H16" t="s">
        <v>702</v>
      </c>
      <c r="I16" t="s">
        <v>594</v>
      </c>
    </row>
    <row r="17" spans="1:9">
      <c r="A17">
        <v>16</v>
      </c>
      <c r="B17" t="s">
        <v>512</v>
      </c>
      <c r="C17" t="s">
        <v>514</v>
      </c>
      <c r="D17" t="s">
        <v>151</v>
      </c>
      <c r="E17">
        <v>4</v>
      </c>
      <c r="F17" t="s">
        <v>694</v>
      </c>
      <c r="G17" t="s">
        <v>699</v>
      </c>
      <c r="H17" t="s">
        <v>700</v>
      </c>
      <c r="I17" t="s">
        <v>593</v>
      </c>
    </row>
    <row r="18" spans="1:9">
      <c r="A18">
        <v>17</v>
      </c>
      <c r="B18" t="s">
        <v>512</v>
      </c>
      <c r="C18" t="s">
        <v>515</v>
      </c>
      <c r="D18" t="s">
        <v>155</v>
      </c>
      <c r="E18">
        <v>65</v>
      </c>
      <c r="F18" t="s">
        <v>703</v>
      </c>
      <c r="G18" t="s">
        <v>699</v>
      </c>
      <c r="H18" t="s">
        <v>704</v>
      </c>
      <c r="I18" t="s">
        <v>595</v>
      </c>
    </row>
    <row r="19" spans="1:9">
      <c r="A19">
        <v>18</v>
      </c>
      <c r="B19" t="s">
        <v>512</v>
      </c>
      <c r="C19" t="s">
        <v>515</v>
      </c>
      <c r="D19" t="s">
        <v>156</v>
      </c>
      <c r="E19">
        <v>8</v>
      </c>
      <c r="F19" t="s">
        <v>694</v>
      </c>
      <c r="G19" t="s">
        <v>699</v>
      </c>
      <c r="H19" t="s">
        <v>700</v>
      </c>
      <c r="I19" t="s">
        <v>593</v>
      </c>
    </row>
    <row r="20" spans="1:9">
      <c r="A20">
        <v>19</v>
      </c>
      <c r="B20" t="s">
        <v>512</v>
      </c>
      <c r="C20" t="s">
        <v>515</v>
      </c>
      <c r="D20" t="s">
        <v>157</v>
      </c>
      <c r="E20">
        <v>4</v>
      </c>
      <c r="F20" t="s">
        <v>697</v>
      </c>
      <c r="G20" t="s">
        <v>695</v>
      </c>
      <c r="H20" t="s">
        <v>698</v>
      </c>
      <c r="I20" t="s">
        <v>592</v>
      </c>
    </row>
    <row r="21" spans="1:9">
      <c r="A21">
        <v>20</v>
      </c>
      <c r="B21" t="s">
        <v>512</v>
      </c>
      <c r="C21" t="s">
        <v>515</v>
      </c>
      <c r="D21" t="s">
        <v>154</v>
      </c>
      <c r="E21">
        <v>7</v>
      </c>
      <c r="F21" t="s">
        <v>694</v>
      </c>
      <c r="G21" t="s">
        <v>699</v>
      </c>
      <c r="H21" t="s">
        <v>700</v>
      </c>
      <c r="I21" t="s">
        <v>593</v>
      </c>
    </row>
    <row r="22" spans="1:9">
      <c r="A22">
        <v>21</v>
      </c>
      <c r="B22" t="s">
        <v>512</v>
      </c>
      <c r="C22" t="s">
        <v>515</v>
      </c>
      <c r="D22" t="s">
        <v>144</v>
      </c>
      <c r="E22">
        <v>3</v>
      </c>
      <c r="F22" t="s">
        <v>694</v>
      </c>
      <c r="G22" t="s">
        <v>699</v>
      </c>
      <c r="H22" t="s">
        <v>700</v>
      </c>
      <c r="I22" t="s">
        <v>593</v>
      </c>
    </row>
    <row r="23" spans="1:9">
      <c r="A23">
        <v>22</v>
      </c>
      <c r="B23" t="s">
        <v>512</v>
      </c>
      <c r="C23" t="s">
        <v>515</v>
      </c>
      <c r="D23" t="s">
        <v>145</v>
      </c>
      <c r="E23">
        <v>5</v>
      </c>
      <c r="F23" t="s">
        <v>694</v>
      </c>
      <c r="G23" t="s">
        <v>699</v>
      </c>
      <c r="H23" t="s">
        <v>700</v>
      </c>
      <c r="I23" t="s">
        <v>593</v>
      </c>
    </row>
    <row r="24" spans="1:9">
      <c r="A24">
        <v>23</v>
      </c>
      <c r="B24" t="s">
        <v>512</v>
      </c>
      <c r="C24" t="s">
        <v>515</v>
      </c>
      <c r="D24" t="s">
        <v>146</v>
      </c>
      <c r="E24">
        <v>5</v>
      </c>
      <c r="F24" t="s">
        <v>701</v>
      </c>
      <c r="G24" t="s">
        <v>495</v>
      </c>
      <c r="H24" t="s">
        <v>702</v>
      </c>
      <c r="I24" t="s">
        <v>594</v>
      </c>
    </row>
    <row r="25" spans="1:9">
      <c r="A25">
        <v>24</v>
      </c>
      <c r="B25" t="s">
        <v>512</v>
      </c>
      <c r="C25" t="s">
        <v>515</v>
      </c>
      <c r="D25" t="s">
        <v>151</v>
      </c>
      <c r="E25">
        <v>3</v>
      </c>
      <c r="F25" t="s">
        <v>694</v>
      </c>
      <c r="G25" t="s">
        <v>699</v>
      </c>
      <c r="H25" t="s">
        <v>700</v>
      </c>
      <c r="I25" t="s">
        <v>593</v>
      </c>
    </row>
    <row r="26" spans="1:9">
      <c r="A26">
        <v>25</v>
      </c>
      <c r="B26" t="s">
        <v>512</v>
      </c>
      <c r="C26" t="s">
        <v>516</v>
      </c>
      <c r="D26" t="s">
        <v>158</v>
      </c>
      <c r="E26">
        <v>30</v>
      </c>
      <c r="F26" t="s">
        <v>697</v>
      </c>
      <c r="G26" t="s">
        <v>695</v>
      </c>
      <c r="H26" t="s">
        <v>698</v>
      </c>
      <c r="I26" t="s">
        <v>592</v>
      </c>
    </row>
    <row r="27" spans="1:9">
      <c r="A27">
        <v>26</v>
      </c>
      <c r="B27" t="s">
        <v>512</v>
      </c>
      <c r="C27" t="s">
        <v>516</v>
      </c>
      <c r="D27" t="s">
        <v>159</v>
      </c>
      <c r="E27">
        <v>15</v>
      </c>
      <c r="F27" t="s">
        <v>697</v>
      </c>
      <c r="G27" t="s">
        <v>699</v>
      </c>
      <c r="H27" t="s">
        <v>705</v>
      </c>
      <c r="I27" t="s">
        <v>596</v>
      </c>
    </row>
    <row r="28" spans="1:9">
      <c r="A28">
        <v>27</v>
      </c>
      <c r="B28" t="s">
        <v>512</v>
      </c>
      <c r="C28" t="s">
        <v>516</v>
      </c>
      <c r="D28" t="s">
        <v>160</v>
      </c>
      <c r="E28">
        <v>20</v>
      </c>
      <c r="F28" t="s">
        <v>697</v>
      </c>
      <c r="G28" t="s">
        <v>695</v>
      </c>
      <c r="H28" t="s">
        <v>698</v>
      </c>
      <c r="I28" t="s">
        <v>592</v>
      </c>
    </row>
    <row r="29" spans="1:9">
      <c r="A29">
        <v>28</v>
      </c>
      <c r="B29" t="s">
        <v>512</v>
      </c>
      <c r="C29" t="s">
        <v>516</v>
      </c>
      <c r="D29" t="s">
        <v>161</v>
      </c>
      <c r="E29">
        <v>10</v>
      </c>
      <c r="F29" t="s">
        <v>697</v>
      </c>
      <c r="G29" t="s">
        <v>699</v>
      </c>
      <c r="H29" t="s">
        <v>705</v>
      </c>
      <c r="I29" t="s">
        <v>596</v>
      </c>
    </row>
    <row r="30" spans="1:9">
      <c r="A30">
        <v>29</v>
      </c>
      <c r="B30" t="s">
        <v>512</v>
      </c>
      <c r="C30" t="s">
        <v>516</v>
      </c>
      <c r="D30" t="s">
        <v>162</v>
      </c>
      <c r="E30">
        <v>10</v>
      </c>
      <c r="F30" t="s">
        <v>697</v>
      </c>
      <c r="G30" t="s">
        <v>695</v>
      </c>
      <c r="H30" t="s">
        <v>698</v>
      </c>
      <c r="I30" t="s">
        <v>592</v>
      </c>
    </row>
    <row r="31" spans="1:9">
      <c r="A31">
        <v>30</v>
      </c>
      <c r="B31" t="s">
        <v>512</v>
      </c>
      <c r="C31" t="s">
        <v>516</v>
      </c>
      <c r="D31" t="s">
        <v>146</v>
      </c>
      <c r="E31">
        <v>5</v>
      </c>
      <c r="F31" t="s">
        <v>701</v>
      </c>
      <c r="G31" t="s">
        <v>495</v>
      </c>
      <c r="H31" t="s">
        <v>702</v>
      </c>
      <c r="I31" t="s">
        <v>594</v>
      </c>
    </row>
    <row r="32" spans="1:9">
      <c r="A32">
        <v>31</v>
      </c>
      <c r="B32" t="s">
        <v>512</v>
      </c>
      <c r="C32" t="s">
        <v>516</v>
      </c>
      <c r="D32" t="s">
        <v>151</v>
      </c>
      <c r="E32">
        <v>10</v>
      </c>
      <c r="F32" t="s">
        <v>697</v>
      </c>
      <c r="G32" t="s">
        <v>699</v>
      </c>
      <c r="H32" t="s">
        <v>705</v>
      </c>
      <c r="I32" t="s">
        <v>596</v>
      </c>
    </row>
    <row r="33" spans="1:9">
      <c r="A33">
        <v>32</v>
      </c>
      <c r="B33" t="s">
        <v>512</v>
      </c>
      <c r="C33" t="s">
        <v>517</v>
      </c>
      <c r="D33" t="s">
        <v>163</v>
      </c>
      <c r="E33">
        <v>35</v>
      </c>
      <c r="F33" t="s">
        <v>706</v>
      </c>
      <c r="G33" t="s">
        <v>699</v>
      </c>
      <c r="H33" t="s">
        <v>707</v>
      </c>
      <c r="I33" t="s">
        <v>597</v>
      </c>
    </row>
    <row r="34" spans="1:9">
      <c r="A34">
        <v>33</v>
      </c>
      <c r="B34" t="s">
        <v>512</v>
      </c>
      <c r="C34" t="s">
        <v>517</v>
      </c>
      <c r="D34" t="s">
        <v>164</v>
      </c>
      <c r="E34">
        <v>35</v>
      </c>
      <c r="F34" t="s">
        <v>708</v>
      </c>
      <c r="G34" t="s">
        <v>695</v>
      </c>
      <c r="H34" t="s">
        <v>709</v>
      </c>
      <c r="I34" t="s">
        <v>598</v>
      </c>
    </row>
    <row r="35" spans="1:9">
      <c r="A35">
        <v>34</v>
      </c>
      <c r="B35" t="s">
        <v>512</v>
      </c>
      <c r="C35" t="s">
        <v>517</v>
      </c>
      <c r="D35" t="s">
        <v>166</v>
      </c>
      <c r="E35">
        <v>8</v>
      </c>
      <c r="F35" t="s">
        <v>706</v>
      </c>
      <c r="G35" t="s">
        <v>699</v>
      </c>
      <c r="H35" t="s">
        <v>707</v>
      </c>
      <c r="I35" t="s">
        <v>597</v>
      </c>
    </row>
    <row r="36" spans="1:9">
      <c r="A36">
        <v>35</v>
      </c>
      <c r="B36" t="s">
        <v>512</v>
      </c>
      <c r="C36" t="s">
        <v>517</v>
      </c>
      <c r="D36" t="s">
        <v>167</v>
      </c>
      <c r="E36">
        <v>8</v>
      </c>
      <c r="F36" t="s">
        <v>708</v>
      </c>
      <c r="G36" t="s">
        <v>695</v>
      </c>
      <c r="H36" t="s">
        <v>709</v>
      </c>
      <c r="I36" t="s">
        <v>598</v>
      </c>
    </row>
    <row r="37" spans="1:9">
      <c r="A37">
        <v>36</v>
      </c>
      <c r="B37" t="s">
        <v>512</v>
      </c>
      <c r="C37" t="s">
        <v>517</v>
      </c>
      <c r="D37" t="s">
        <v>168</v>
      </c>
      <c r="E37">
        <v>6</v>
      </c>
      <c r="F37" t="s">
        <v>706</v>
      </c>
      <c r="G37" t="s">
        <v>699</v>
      </c>
      <c r="H37" t="s">
        <v>707</v>
      </c>
      <c r="I37" t="s">
        <v>597</v>
      </c>
    </row>
    <row r="38" spans="1:9">
      <c r="A38">
        <v>37</v>
      </c>
      <c r="B38" t="s">
        <v>512</v>
      </c>
      <c r="C38" t="s">
        <v>517</v>
      </c>
      <c r="D38" t="s">
        <v>169</v>
      </c>
      <c r="E38">
        <v>4</v>
      </c>
      <c r="F38" t="s">
        <v>701</v>
      </c>
      <c r="G38" t="s">
        <v>495</v>
      </c>
      <c r="H38" t="s">
        <v>702</v>
      </c>
      <c r="I38" t="s">
        <v>594</v>
      </c>
    </row>
    <row r="39" spans="1:9">
      <c r="A39">
        <v>38</v>
      </c>
      <c r="B39" t="s">
        <v>512</v>
      </c>
      <c r="C39" t="s">
        <v>517</v>
      </c>
      <c r="D39" t="s">
        <v>151</v>
      </c>
      <c r="E39">
        <v>4</v>
      </c>
      <c r="F39" t="s">
        <v>706</v>
      </c>
      <c r="G39" t="s">
        <v>699</v>
      </c>
      <c r="H39" t="s">
        <v>707</v>
      </c>
      <c r="I39" t="s">
        <v>597</v>
      </c>
    </row>
    <row r="40" spans="1:9">
      <c r="A40">
        <v>39</v>
      </c>
      <c r="B40" t="s">
        <v>512</v>
      </c>
      <c r="C40" t="s">
        <v>518</v>
      </c>
      <c r="D40" t="s">
        <v>170</v>
      </c>
      <c r="E40">
        <v>30</v>
      </c>
      <c r="F40" t="s">
        <v>694</v>
      </c>
      <c r="G40" t="s">
        <v>699</v>
      </c>
      <c r="H40" t="s">
        <v>700</v>
      </c>
      <c r="I40" t="s">
        <v>593</v>
      </c>
    </row>
    <row r="41" spans="1:9">
      <c r="A41">
        <v>40</v>
      </c>
      <c r="B41" t="s">
        <v>512</v>
      </c>
      <c r="C41" t="s">
        <v>518</v>
      </c>
      <c r="D41" t="s">
        <v>171</v>
      </c>
      <c r="E41">
        <v>35</v>
      </c>
      <c r="F41" t="s">
        <v>710</v>
      </c>
      <c r="G41" t="s">
        <v>695</v>
      </c>
      <c r="H41" t="s">
        <v>711</v>
      </c>
      <c r="I41" t="s">
        <v>599</v>
      </c>
    </row>
    <row r="42" spans="1:9">
      <c r="A42">
        <v>41</v>
      </c>
      <c r="B42" t="s">
        <v>512</v>
      </c>
      <c r="C42" t="s">
        <v>518</v>
      </c>
      <c r="D42" t="s">
        <v>173</v>
      </c>
      <c r="E42">
        <v>15</v>
      </c>
      <c r="F42" t="s">
        <v>710</v>
      </c>
      <c r="G42" t="s">
        <v>695</v>
      </c>
      <c r="H42" t="s">
        <v>711</v>
      </c>
      <c r="I42" t="s">
        <v>599</v>
      </c>
    </row>
    <row r="43" spans="1:9">
      <c r="A43">
        <v>42</v>
      </c>
      <c r="B43" t="s">
        <v>512</v>
      </c>
      <c r="C43" t="s">
        <v>518</v>
      </c>
      <c r="D43" t="s">
        <v>139</v>
      </c>
      <c r="E43">
        <v>5</v>
      </c>
      <c r="F43" t="s">
        <v>694</v>
      </c>
      <c r="G43" t="s">
        <v>699</v>
      </c>
      <c r="H43" t="s">
        <v>700</v>
      </c>
      <c r="I43" t="s">
        <v>593</v>
      </c>
    </row>
    <row r="44" spans="1:9">
      <c r="A44">
        <v>43</v>
      </c>
      <c r="B44" t="s">
        <v>512</v>
      </c>
      <c r="C44" t="s">
        <v>518</v>
      </c>
      <c r="D44" t="s">
        <v>144</v>
      </c>
      <c r="E44">
        <v>5</v>
      </c>
      <c r="F44" t="s">
        <v>694</v>
      </c>
      <c r="G44" t="s">
        <v>699</v>
      </c>
      <c r="H44" t="s">
        <v>700</v>
      </c>
      <c r="I44" t="s">
        <v>593</v>
      </c>
    </row>
    <row r="45" spans="1:9">
      <c r="A45">
        <v>44</v>
      </c>
      <c r="B45" t="s">
        <v>512</v>
      </c>
      <c r="C45" t="s">
        <v>518</v>
      </c>
      <c r="D45" t="s">
        <v>175</v>
      </c>
      <c r="E45">
        <v>5</v>
      </c>
      <c r="F45" t="s">
        <v>701</v>
      </c>
      <c r="G45" t="s">
        <v>495</v>
      </c>
      <c r="H45" t="s">
        <v>702</v>
      </c>
      <c r="I45" t="s">
        <v>594</v>
      </c>
    </row>
    <row r="46" spans="1:9">
      <c r="A46">
        <v>45</v>
      </c>
      <c r="B46" t="s">
        <v>512</v>
      </c>
      <c r="C46" t="s">
        <v>518</v>
      </c>
      <c r="D46" t="s">
        <v>176</v>
      </c>
      <c r="E46">
        <v>5</v>
      </c>
      <c r="F46" t="s">
        <v>710</v>
      </c>
      <c r="G46" t="s">
        <v>695</v>
      </c>
      <c r="H46" t="s">
        <v>711</v>
      </c>
      <c r="I46" t="s">
        <v>599</v>
      </c>
    </row>
    <row r="47" spans="1:9">
      <c r="A47">
        <v>46</v>
      </c>
      <c r="B47" t="s">
        <v>512</v>
      </c>
      <c r="C47" t="s">
        <v>519</v>
      </c>
      <c r="D47" t="s">
        <v>177</v>
      </c>
      <c r="E47">
        <v>70</v>
      </c>
      <c r="F47" t="s">
        <v>703</v>
      </c>
      <c r="G47" t="s">
        <v>695</v>
      </c>
      <c r="H47" t="s">
        <v>712</v>
      </c>
      <c r="I47" t="s">
        <v>600</v>
      </c>
    </row>
    <row r="48" spans="1:9">
      <c r="A48">
        <v>47</v>
      </c>
      <c r="B48" t="s">
        <v>512</v>
      </c>
      <c r="C48" t="s">
        <v>519</v>
      </c>
      <c r="D48" t="s">
        <v>180</v>
      </c>
      <c r="E48">
        <v>5</v>
      </c>
      <c r="F48" t="s">
        <v>703</v>
      </c>
      <c r="G48" t="s">
        <v>695</v>
      </c>
      <c r="H48" t="s">
        <v>712</v>
      </c>
      <c r="I48" t="s">
        <v>600</v>
      </c>
    </row>
    <row r="49" spans="1:9">
      <c r="A49">
        <v>48</v>
      </c>
      <c r="B49" t="s">
        <v>512</v>
      </c>
      <c r="C49" t="s">
        <v>519</v>
      </c>
      <c r="D49" t="s">
        <v>181</v>
      </c>
      <c r="E49">
        <v>8</v>
      </c>
      <c r="F49" t="s">
        <v>703</v>
      </c>
      <c r="G49" t="s">
        <v>695</v>
      </c>
      <c r="H49" t="s">
        <v>712</v>
      </c>
      <c r="I49" t="s">
        <v>600</v>
      </c>
    </row>
    <row r="50" spans="1:9">
      <c r="A50">
        <v>49</v>
      </c>
      <c r="B50" t="s">
        <v>512</v>
      </c>
      <c r="C50" t="s">
        <v>519</v>
      </c>
      <c r="D50" t="s">
        <v>184</v>
      </c>
      <c r="E50">
        <v>8</v>
      </c>
      <c r="F50" t="s">
        <v>703</v>
      </c>
      <c r="G50" t="s">
        <v>695</v>
      </c>
      <c r="H50" t="s">
        <v>712</v>
      </c>
      <c r="I50" t="s">
        <v>600</v>
      </c>
    </row>
    <row r="51" spans="1:9">
      <c r="A51">
        <v>50</v>
      </c>
      <c r="B51" t="s">
        <v>512</v>
      </c>
      <c r="C51" t="s">
        <v>519</v>
      </c>
      <c r="D51" t="s">
        <v>144</v>
      </c>
      <c r="E51">
        <v>3</v>
      </c>
      <c r="F51" t="s">
        <v>703</v>
      </c>
      <c r="G51" t="s">
        <v>695</v>
      </c>
      <c r="H51" t="s">
        <v>712</v>
      </c>
      <c r="I51" t="s">
        <v>600</v>
      </c>
    </row>
    <row r="52" spans="1:9">
      <c r="A52">
        <v>51</v>
      </c>
      <c r="B52" t="s">
        <v>512</v>
      </c>
      <c r="C52" t="s">
        <v>519</v>
      </c>
      <c r="D52" t="s">
        <v>103</v>
      </c>
      <c r="E52">
        <v>4</v>
      </c>
      <c r="F52" t="s">
        <v>713</v>
      </c>
      <c r="G52" t="s">
        <v>695</v>
      </c>
      <c r="H52" t="s">
        <v>714</v>
      </c>
      <c r="I52" t="s">
        <v>601</v>
      </c>
    </row>
    <row r="53" spans="1:9">
      <c r="A53">
        <v>52</v>
      </c>
      <c r="B53" t="s">
        <v>512</v>
      </c>
      <c r="C53" t="s">
        <v>519</v>
      </c>
      <c r="D53" t="s">
        <v>151</v>
      </c>
      <c r="E53">
        <v>2</v>
      </c>
      <c r="F53" t="s">
        <v>703</v>
      </c>
      <c r="G53" t="s">
        <v>695</v>
      </c>
      <c r="H53" t="s">
        <v>712</v>
      </c>
      <c r="I53" t="s">
        <v>600</v>
      </c>
    </row>
    <row r="54" spans="1:9">
      <c r="A54">
        <v>53</v>
      </c>
      <c r="B54" t="s">
        <v>512</v>
      </c>
      <c r="C54" t="s">
        <v>520</v>
      </c>
      <c r="D54" t="s">
        <v>163</v>
      </c>
      <c r="E54">
        <v>30</v>
      </c>
      <c r="F54" t="s">
        <v>706</v>
      </c>
      <c r="G54" t="s">
        <v>699</v>
      </c>
      <c r="H54" t="s">
        <v>707</v>
      </c>
      <c r="I54" t="s">
        <v>597</v>
      </c>
    </row>
    <row r="55" spans="1:9">
      <c r="A55">
        <v>54</v>
      </c>
      <c r="B55" t="s">
        <v>512</v>
      </c>
      <c r="C55" t="s">
        <v>520</v>
      </c>
      <c r="D55" t="s">
        <v>186</v>
      </c>
      <c r="E55">
        <v>30</v>
      </c>
      <c r="F55" t="s">
        <v>708</v>
      </c>
      <c r="G55" t="s">
        <v>695</v>
      </c>
      <c r="H55" t="s">
        <v>709</v>
      </c>
      <c r="I55" t="s">
        <v>598</v>
      </c>
    </row>
    <row r="56" spans="1:9">
      <c r="A56">
        <v>55</v>
      </c>
      <c r="B56" t="s">
        <v>512</v>
      </c>
      <c r="C56" t="s">
        <v>520</v>
      </c>
      <c r="D56" t="s">
        <v>187</v>
      </c>
      <c r="E56">
        <v>15</v>
      </c>
      <c r="F56" t="s">
        <v>708</v>
      </c>
      <c r="G56" t="s">
        <v>695</v>
      </c>
      <c r="H56" t="s">
        <v>709</v>
      </c>
      <c r="I56" t="s">
        <v>598</v>
      </c>
    </row>
    <row r="57" spans="1:9">
      <c r="A57">
        <v>56</v>
      </c>
      <c r="B57" t="s">
        <v>512</v>
      </c>
      <c r="C57" t="s">
        <v>520</v>
      </c>
      <c r="D57" t="s">
        <v>166</v>
      </c>
      <c r="E57">
        <v>10</v>
      </c>
      <c r="F57" t="s">
        <v>706</v>
      </c>
      <c r="G57" t="s">
        <v>699</v>
      </c>
      <c r="H57" t="s">
        <v>707</v>
      </c>
      <c r="I57" t="s">
        <v>597</v>
      </c>
    </row>
    <row r="58" spans="1:9">
      <c r="A58">
        <v>57</v>
      </c>
      <c r="B58" t="s">
        <v>512</v>
      </c>
      <c r="C58" t="s">
        <v>520</v>
      </c>
      <c r="D58" t="s">
        <v>188</v>
      </c>
      <c r="E58">
        <v>5</v>
      </c>
      <c r="F58" t="s">
        <v>710</v>
      </c>
      <c r="G58" t="s">
        <v>699</v>
      </c>
      <c r="H58" t="s">
        <v>715</v>
      </c>
      <c r="I58" t="s">
        <v>602</v>
      </c>
    </row>
    <row r="59" spans="1:9">
      <c r="A59">
        <v>58</v>
      </c>
      <c r="B59" t="s">
        <v>512</v>
      </c>
      <c r="C59" t="s">
        <v>520</v>
      </c>
      <c r="D59" t="s">
        <v>168</v>
      </c>
      <c r="E59">
        <v>5</v>
      </c>
      <c r="F59" t="s">
        <v>706</v>
      </c>
      <c r="G59" t="s">
        <v>699</v>
      </c>
      <c r="H59" t="s">
        <v>707</v>
      </c>
      <c r="I59" t="s">
        <v>597</v>
      </c>
    </row>
    <row r="60" spans="1:9">
      <c r="A60">
        <v>59</v>
      </c>
      <c r="B60" t="s">
        <v>512</v>
      </c>
      <c r="C60" t="s">
        <v>520</v>
      </c>
      <c r="D60" t="s">
        <v>175</v>
      </c>
      <c r="E60">
        <v>5</v>
      </c>
      <c r="F60" t="s">
        <v>701</v>
      </c>
      <c r="G60" t="s">
        <v>495</v>
      </c>
      <c r="H60" t="s">
        <v>702</v>
      </c>
      <c r="I60" t="s">
        <v>594</v>
      </c>
    </row>
    <row r="61" spans="1:9">
      <c r="A61">
        <v>60</v>
      </c>
      <c r="B61" t="s">
        <v>521</v>
      </c>
      <c r="C61" t="s">
        <v>522</v>
      </c>
      <c r="D61" t="s">
        <v>189</v>
      </c>
      <c r="E61">
        <v>45</v>
      </c>
      <c r="F61" t="s">
        <v>716</v>
      </c>
      <c r="G61" t="s">
        <v>695</v>
      </c>
      <c r="H61" t="s">
        <v>717</v>
      </c>
      <c r="I61" t="s">
        <v>603</v>
      </c>
    </row>
    <row r="62" spans="1:9">
      <c r="A62">
        <v>61</v>
      </c>
      <c r="B62" t="s">
        <v>521</v>
      </c>
      <c r="C62" t="s">
        <v>522</v>
      </c>
      <c r="D62" t="s">
        <v>190</v>
      </c>
      <c r="E62">
        <v>20</v>
      </c>
      <c r="F62" t="s">
        <v>716</v>
      </c>
      <c r="G62" t="s">
        <v>695</v>
      </c>
      <c r="H62" t="s">
        <v>717</v>
      </c>
      <c r="I62" t="s">
        <v>603</v>
      </c>
    </row>
    <row r="63" spans="1:9">
      <c r="A63">
        <v>62</v>
      </c>
      <c r="B63" t="s">
        <v>521</v>
      </c>
      <c r="C63" t="s">
        <v>522</v>
      </c>
      <c r="D63" t="s">
        <v>191</v>
      </c>
      <c r="E63">
        <v>10</v>
      </c>
      <c r="F63" t="s">
        <v>718</v>
      </c>
      <c r="G63" t="s">
        <v>695</v>
      </c>
      <c r="H63" t="s">
        <v>719</v>
      </c>
      <c r="I63" t="s">
        <v>604</v>
      </c>
    </row>
    <row r="64" spans="1:9">
      <c r="A64">
        <v>63</v>
      </c>
      <c r="B64" t="s">
        <v>521</v>
      </c>
      <c r="C64" t="s">
        <v>522</v>
      </c>
      <c r="D64" t="s">
        <v>192</v>
      </c>
      <c r="E64">
        <v>8</v>
      </c>
      <c r="F64" t="s">
        <v>720</v>
      </c>
      <c r="G64" t="s">
        <v>695</v>
      </c>
      <c r="H64" t="s">
        <v>721</v>
      </c>
      <c r="I64" t="s">
        <v>605</v>
      </c>
    </row>
    <row r="65" spans="1:9">
      <c r="A65">
        <v>64</v>
      </c>
      <c r="B65" t="s">
        <v>521</v>
      </c>
      <c r="C65" t="s">
        <v>522</v>
      </c>
      <c r="D65" t="s">
        <v>193</v>
      </c>
      <c r="E65">
        <v>7</v>
      </c>
      <c r="F65" t="s">
        <v>710</v>
      </c>
      <c r="G65" t="s">
        <v>699</v>
      </c>
      <c r="H65" t="s">
        <v>722</v>
      </c>
      <c r="I65" t="s">
        <v>606</v>
      </c>
    </row>
    <row r="66" spans="1:9">
      <c r="A66">
        <v>65</v>
      </c>
      <c r="B66" t="s">
        <v>521</v>
      </c>
      <c r="C66" t="s">
        <v>522</v>
      </c>
      <c r="D66" t="s">
        <v>194</v>
      </c>
      <c r="E66">
        <v>5</v>
      </c>
      <c r="F66" t="s">
        <v>716</v>
      </c>
      <c r="G66" t="s">
        <v>695</v>
      </c>
      <c r="H66" t="s">
        <v>717</v>
      </c>
      <c r="I66" t="s">
        <v>603</v>
      </c>
    </row>
    <row r="67" spans="1:9">
      <c r="A67">
        <v>66</v>
      </c>
      <c r="B67" t="s">
        <v>521</v>
      </c>
      <c r="C67" t="s">
        <v>522</v>
      </c>
      <c r="D67" t="s">
        <v>195</v>
      </c>
      <c r="E67">
        <v>5</v>
      </c>
      <c r="F67" t="s">
        <v>723</v>
      </c>
      <c r="G67" t="s">
        <v>699</v>
      </c>
      <c r="H67" t="s">
        <v>724</v>
      </c>
      <c r="I67" t="s">
        <v>607</v>
      </c>
    </row>
    <row r="68" spans="1:9">
      <c r="A68">
        <v>67</v>
      </c>
      <c r="B68" t="s">
        <v>521</v>
      </c>
      <c r="C68" t="s">
        <v>523</v>
      </c>
      <c r="D68" t="s">
        <v>196</v>
      </c>
      <c r="E68">
        <v>40</v>
      </c>
      <c r="F68" t="s">
        <v>725</v>
      </c>
      <c r="G68" t="s">
        <v>695</v>
      </c>
      <c r="H68" t="s">
        <v>726</v>
      </c>
      <c r="I68" t="s">
        <v>608</v>
      </c>
    </row>
    <row r="69" spans="1:9">
      <c r="A69">
        <v>68</v>
      </c>
      <c r="B69" t="s">
        <v>521</v>
      </c>
      <c r="C69" t="s">
        <v>523</v>
      </c>
      <c r="D69" t="s">
        <v>197</v>
      </c>
      <c r="E69">
        <v>20</v>
      </c>
      <c r="F69" t="s">
        <v>725</v>
      </c>
      <c r="G69" t="s">
        <v>695</v>
      </c>
      <c r="H69" t="s">
        <v>726</v>
      </c>
      <c r="I69" t="s">
        <v>608</v>
      </c>
    </row>
    <row r="70" spans="1:9">
      <c r="A70">
        <v>69</v>
      </c>
      <c r="B70" t="s">
        <v>521</v>
      </c>
      <c r="C70" t="s">
        <v>523</v>
      </c>
      <c r="D70" t="s">
        <v>193</v>
      </c>
      <c r="E70">
        <v>15</v>
      </c>
      <c r="F70" t="s">
        <v>710</v>
      </c>
      <c r="G70" t="s">
        <v>699</v>
      </c>
      <c r="H70" t="s">
        <v>722</v>
      </c>
      <c r="I70" t="s">
        <v>606</v>
      </c>
    </row>
    <row r="71" spans="1:9">
      <c r="A71">
        <v>70</v>
      </c>
      <c r="B71" t="s">
        <v>521</v>
      </c>
      <c r="C71" t="s">
        <v>523</v>
      </c>
      <c r="D71" t="s">
        <v>198</v>
      </c>
      <c r="E71">
        <v>5</v>
      </c>
      <c r="F71" t="s">
        <v>725</v>
      </c>
      <c r="G71" t="s">
        <v>695</v>
      </c>
      <c r="H71" t="s">
        <v>726</v>
      </c>
      <c r="I71" t="s">
        <v>608</v>
      </c>
    </row>
    <row r="72" spans="1:9">
      <c r="A72">
        <v>71</v>
      </c>
      <c r="B72" t="s">
        <v>521</v>
      </c>
      <c r="C72" t="s">
        <v>523</v>
      </c>
      <c r="D72" t="s">
        <v>199</v>
      </c>
      <c r="E72">
        <v>8</v>
      </c>
      <c r="F72" t="s">
        <v>727</v>
      </c>
      <c r="G72" t="s">
        <v>495</v>
      </c>
      <c r="H72" t="s">
        <v>728</v>
      </c>
      <c r="I72" t="s">
        <v>609</v>
      </c>
    </row>
    <row r="73" spans="1:9">
      <c r="A73">
        <v>72</v>
      </c>
      <c r="B73" t="s">
        <v>521</v>
      </c>
      <c r="C73" t="s">
        <v>523</v>
      </c>
      <c r="D73" t="s">
        <v>200</v>
      </c>
      <c r="E73">
        <v>5</v>
      </c>
      <c r="F73" t="s">
        <v>727</v>
      </c>
      <c r="G73" t="s">
        <v>495</v>
      </c>
      <c r="H73" t="s">
        <v>729</v>
      </c>
      <c r="I73" t="s">
        <v>610</v>
      </c>
    </row>
    <row r="74" spans="1:9">
      <c r="A74">
        <v>73</v>
      </c>
      <c r="B74" t="s">
        <v>521</v>
      </c>
      <c r="C74" t="s">
        <v>523</v>
      </c>
      <c r="D74" t="s">
        <v>176</v>
      </c>
      <c r="E74">
        <v>7</v>
      </c>
      <c r="F74" t="s">
        <v>718</v>
      </c>
      <c r="G74" t="s">
        <v>695</v>
      </c>
      <c r="H74" t="s">
        <v>719</v>
      </c>
      <c r="I74" t="s">
        <v>604</v>
      </c>
    </row>
    <row r="75" spans="1:9">
      <c r="A75">
        <v>74</v>
      </c>
      <c r="B75" t="s">
        <v>521</v>
      </c>
      <c r="C75" t="s">
        <v>524</v>
      </c>
      <c r="D75" t="s">
        <v>201</v>
      </c>
      <c r="E75">
        <v>50</v>
      </c>
      <c r="F75" t="s">
        <v>725</v>
      </c>
      <c r="G75" t="s">
        <v>695</v>
      </c>
      <c r="H75" t="s">
        <v>726</v>
      </c>
      <c r="I75" t="s">
        <v>608</v>
      </c>
    </row>
    <row r="76" spans="1:9">
      <c r="A76">
        <v>75</v>
      </c>
      <c r="B76" t="s">
        <v>521</v>
      </c>
      <c r="C76" t="s">
        <v>524</v>
      </c>
      <c r="D76" t="s">
        <v>202</v>
      </c>
      <c r="E76">
        <v>20</v>
      </c>
      <c r="F76" t="s">
        <v>718</v>
      </c>
      <c r="G76" t="s">
        <v>695</v>
      </c>
      <c r="H76" t="s">
        <v>719</v>
      </c>
      <c r="I76" t="s">
        <v>604</v>
      </c>
    </row>
    <row r="77" spans="1:9">
      <c r="A77">
        <v>76</v>
      </c>
      <c r="B77" t="s">
        <v>521</v>
      </c>
      <c r="C77" t="s">
        <v>524</v>
      </c>
      <c r="D77" t="s">
        <v>203</v>
      </c>
      <c r="E77">
        <v>8</v>
      </c>
      <c r="F77" t="s">
        <v>725</v>
      </c>
      <c r="G77" t="s">
        <v>695</v>
      </c>
      <c r="H77" t="s">
        <v>726</v>
      </c>
      <c r="I77" t="s">
        <v>608</v>
      </c>
    </row>
    <row r="78" spans="1:9">
      <c r="A78">
        <v>77</v>
      </c>
      <c r="B78" t="s">
        <v>521</v>
      </c>
      <c r="C78" t="s">
        <v>524</v>
      </c>
      <c r="D78" t="s">
        <v>193</v>
      </c>
      <c r="E78">
        <v>8</v>
      </c>
      <c r="F78" t="s">
        <v>710</v>
      </c>
      <c r="G78" t="s">
        <v>699</v>
      </c>
      <c r="H78" t="s">
        <v>722</v>
      </c>
      <c r="I78" t="s">
        <v>606</v>
      </c>
    </row>
    <row r="79" spans="1:9">
      <c r="A79">
        <v>78</v>
      </c>
      <c r="B79" t="s">
        <v>521</v>
      </c>
      <c r="C79" t="s">
        <v>524</v>
      </c>
      <c r="D79" t="s">
        <v>199</v>
      </c>
      <c r="E79">
        <v>5</v>
      </c>
      <c r="F79" t="s">
        <v>727</v>
      </c>
      <c r="G79" t="s">
        <v>495</v>
      </c>
      <c r="H79" t="s">
        <v>728</v>
      </c>
      <c r="I79" t="s">
        <v>609</v>
      </c>
    </row>
    <row r="80" spans="1:9">
      <c r="A80">
        <v>79</v>
      </c>
      <c r="B80" t="s">
        <v>521</v>
      </c>
      <c r="C80" t="s">
        <v>524</v>
      </c>
      <c r="D80" t="s">
        <v>200</v>
      </c>
      <c r="E80">
        <v>4</v>
      </c>
      <c r="F80" t="s">
        <v>727</v>
      </c>
      <c r="G80" t="s">
        <v>495</v>
      </c>
      <c r="H80" t="s">
        <v>729</v>
      </c>
      <c r="I80" t="s">
        <v>610</v>
      </c>
    </row>
    <row r="81" spans="1:9">
      <c r="A81">
        <v>80</v>
      </c>
      <c r="B81" t="s">
        <v>521</v>
      </c>
      <c r="C81" t="s">
        <v>524</v>
      </c>
      <c r="D81" t="s">
        <v>204</v>
      </c>
      <c r="E81">
        <v>5</v>
      </c>
      <c r="F81" t="s">
        <v>723</v>
      </c>
      <c r="G81" t="s">
        <v>699</v>
      </c>
      <c r="H81" t="s">
        <v>724</v>
      </c>
      <c r="I81" t="s">
        <v>607</v>
      </c>
    </row>
    <row r="82" spans="1:9">
      <c r="A82">
        <v>81</v>
      </c>
      <c r="B82" t="s">
        <v>521</v>
      </c>
      <c r="C82" t="s">
        <v>89</v>
      </c>
      <c r="D82" t="s">
        <v>205</v>
      </c>
      <c r="E82">
        <v>65</v>
      </c>
      <c r="F82" t="s">
        <v>710</v>
      </c>
      <c r="G82" t="s">
        <v>695</v>
      </c>
      <c r="H82" t="s">
        <v>730</v>
      </c>
      <c r="I82" t="s">
        <v>611</v>
      </c>
    </row>
    <row r="83" spans="1:9">
      <c r="A83">
        <v>82</v>
      </c>
      <c r="B83" t="s">
        <v>521</v>
      </c>
      <c r="C83" t="s">
        <v>89</v>
      </c>
      <c r="D83" t="s">
        <v>206</v>
      </c>
      <c r="E83">
        <v>15</v>
      </c>
      <c r="F83" t="s">
        <v>731</v>
      </c>
      <c r="G83" t="s">
        <v>695</v>
      </c>
      <c r="H83" t="s">
        <v>732</v>
      </c>
      <c r="I83" t="s">
        <v>612</v>
      </c>
    </row>
    <row r="84" spans="1:9">
      <c r="A84">
        <v>83</v>
      </c>
      <c r="B84" t="s">
        <v>521</v>
      </c>
      <c r="C84" t="s">
        <v>89</v>
      </c>
      <c r="D84" t="s">
        <v>207</v>
      </c>
      <c r="E84">
        <v>8</v>
      </c>
      <c r="F84" t="s">
        <v>718</v>
      </c>
      <c r="G84" t="s">
        <v>695</v>
      </c>
      <c r="H84" t="s">
        <v>719</v>
      </c>
      <c r="I84" t="s">
        <v>604</v>
      </c>
    </row>
    <row r="85" spans="1:9">
      <c r="A85">
        <v>84</v>
      </c>
      <c r="B85" t="s">
        <v>521</v>
      </c>
      <c r="C85" t="s">
        <v>89</v>
      </c>
      <c r="D85" t="s">
        <v>208</v>
      </c>
      <c r="E85">
        <v>5</v>
      </c>
      <c r="F85" t="s">
        <v>727</v>
      </c>
      <c r="G85" t="s">
        <v>495</v>
      </c>
      <c r="H85" t="s">
        <v>728</v>
      </c>
      <c r="I85" t="s">
        <v>609</v>
      </c>
    </row>
    <row r="86" spans="1:9">
      <c r="A86">
        <v>85</v>
      </c>
      <c r="B86" t="s">
        <v>521</v>
      </c>
      <c r="C86" t="s">
        <v>89</v>
      </c>
      <c r="D86" t="s">
        <v>200</v>
      </c>
      <c r="E86">
        <v>3</v>
      </c>
      <c r="F86" t="s">
        <v>727</v>
      </c>
      <c r="G86" t="s">
        <v>495</v>
      </c>
      <c r="H86" t="s">
        <v>729</v>
      </c>
      <c r="I86" t="s">
        <v>610</v>
      </c>
    </row>
    <row r="87" spans="1:9">
      <c r="A87">
        <v>86</v>
      </c>
      <c r="B87" t="s">
        <v>521</v>
      </c>
      <c r="C87" t="s">
        <v>89</v>
      </c>
      <c r="D87" t="s">
        <v>209</v>
      </c>
      <c r="E87">
        <v>2</v>
      </c>
      <c r="F87" t="s">
        <v>723</v>
      </c>
      <c r="G87" t="s">
        <v>699</v>
      </c>
      <c r="H87" t="s">
        <v>724</v>
      </c>
      <c r="I87" t="s">
        <v>607</v>
      </c>
    </row>
    <row r="88" spans="1:9">
      <c r="A88">
        <v>87</v>
      </c>
      <c r="B88" t="s">
        <v>521</v>
      </c>
      <c r="C88" t="s">
        <v>89</v>
      </c>
      <c r="D88" t="s">
        <v>176</v>
      </c>
      <c r="E88">
        <v>2</v>
      </c>
      <c r="F88" t="s">
        <v>718</v>
      </c>
      <c r="G88" t="s">
        <v>695</v>
      </c>
      <c r="H88" t="s">
        <v>719</v>
      </c>
      <c r="I88" t="s">
        <v>604</v>
      </c>
    </row>
    <row r="89" spans="1:9">
      <c r="A89">
        <v>88</v>
      </c>
      <c r="B89" t="s">
        <v>521</v>
      </c>
      <c r="C89" t="s">
        <v>525</v>
      </c>
      <c r="D89" t="s">
        <v>210</v>
      </c>
      <c r="E89">
        <v>45</v>
      </c>
      <c r="F89" t="s">
        <v>710</v>
      </c>
      <c r="G89" t="s">
        <v>695</v>
      </c>
      <c r="H89" t="s">
        <v>730</v>
      </c>
      <c r="I89" t="s">
        <v>611</v>
      </c>
    </row>
    <row r="90" spans="1:9">
      <c r="A90">
        <v>89</v>
      </c>
      <c r="B90" t="s">
        <v>521</v>
      </c>
      <c r="C90" t="s">
        <v>525</v>
      </c>
      <c r="D90" t="s">
        <v>211</v>
      </c>
      <c r="E90">
        <v>20</v>
      </c>
      <c r="F90" t="s">
        <v>718</v>
      </c>
      <c r="G90" t="s">
        <v>695</v>
      </c>
      <c r="H90" t="s">
        <v>719</v>
      </c>
      <c r="I90" t="s">
        <v>604</v>
      </c>
    </row>
    <row r="91" spans="1:9">
      <c r="A91">
        <v>90</v>
      </c>
      <c r="B91" t="s">
        <v>521</v>
      </c>
      <c r="C91" t="s">
        <v>525</v>
      </c>
      <c r="D91" t="s">
        <v>212</v>
      </c>
      <c r="E91">
        <v>15</v>
      </c>
      <c r="F91" t="s">
        <v>731</v>
      </c>
      <c r="G91" t="s">
        <v>695</v>
      </c>
      <c r="H91" t="s">
        <v>732</v>
      </c>
      <c r="I91" t="s">
        <v>612</v>
      </c>
    </row>
    <row r="92" spans="1:9">
      <c r="A92">
        <v>91</v>
      </c>
      <c r="B92" t="s">
        <v>521</v>
      </c>
      <c r="C92" t="s">
        <v>525</v>
      </c>
      <c r="D92" t="s">
        <v>213</v>
      </c>
      <c r="E92">
        <v>8</v>
      </c>
      <c r="F92" t="s">
        <v>718</v>
      </c>
      <c r="G92" t="s">
        <v>695</v>
      </c>
      <c r="H92" t="s">
        <v>719</v>
      </c>
      <c r="I92" t="s">
        <v>604</v>
      </c>
    </row>
    <row r="93" spans="1:9">
      <c r="A93">
        <v>92</v>
      </c>
      <c r="B93" t="s">
        <v>521</v>
      </c>
      <c r="C93" t="s">
        <v>525</v>
      </c>
      <c r="D93" t="s">
        <v>208</v>
      </c>
      <c r="E93">
        <v>5</v>
      </c>
      <c r="F93" t="s">
        <v>727</v>
      </c>
      <c r="G93" t="s">
        <v>495</v>
      </c>
      <c r="H93" t="s">
        <v>728</v>
      </c>
      <c r="I93" t="s">
        <v>609</v>
      </c>
    </row>
    <row r="94" spans="1:9">
      <c r="A94">
        <v>93</v>
      </c>
      <c r="B94" t="s">
        <v>521</v>
      </c>
      <c r="C94" t="s">
        <v>525</v>
      </c>
      <c r="D94" t="s">
        <v>200</v>
      </c>
      <c r="E94">
        <v>3</v>
      </c>
      <c r="F94" t="s">
        <v>727</v>
      </c>
      <c r="G94" t="s">
        <v>495</v>
      </c>
      <c r="H94" t="s">
        <v>729</v>
      </c>
      <c r="I94" t="s">
        <v>610</v>
      </c>
    </row>
    <row r="95" spans="1:9">
      <c r="A95">
        <v>94</v>
      </c>
      <c r="B95" t="s">
        <v>521</v>
      </c>
      <c r="C95" t="s">
        <v>525</v>
      </c>
      <c r="D95" t="s">
        <v>214</v>
      </c>
      <c r="E95">
        <v>4</v>
      </c>
      <c r="F95" t="s">
        <v>723</v>
      </c>
      <c r="G95" t="s">
        <v>699</v>
      </c>
      <c r="H95" t="s">
        <v>724</v>
      </c>
      <c r="I95" t="s">
        <v>607</v>
      </c>
    </row>
    <row r="96" spans="1:9">
      <c r="A96">
        <v>95</v>
      </c>
      <c r="B96" t="s">
        <v>521</v>
      </c>
      <c r="C96" t="s">
        <v>526</v>
      </c>
      <c r="D96" t="s">
        <v>215</v>
      </c>
      <c r="E96">
        <v>45</v>
      </c>
      <c r="F96" t="s">
        <v>733</v>
      </c>
      <c r="G96" t="s">
        <v>695</v>
      </c>
      <c r="H96" t="s">
        <v>734</v>
      </c>
      <c r="I96" t="s">
        <v>613</v>
      </c>
    </row>
    <row r="97" spans="1:9">
      <c r="A97">
        <v>96</v>
      </c>
      <c r="B97" t="s">
        <v>521</v>
      </c>
      <c r="C97" t="s">
        <v>526</v>
      </c>
      <c r="D97" t="s">
        <v>216</v>
      </c>
      <c r="E97">
        <v>15</v>
      </c>
      <c r="F97" t="s">
        <v>733</v>
      </c>
      <c r="G97" t="s">
        <v>695</v>
      </c>
      <c r="H97" t="s">
        <v>734</v>
      </c>
      <c r="I97" t="s">
        <v>613</v>
      </c>
    </row>
    <row r="98" spans="1:9">
      <c r="A98">
        <v>97</v>
      </c>
      <c r="B98" t="s">
        <v>521</v>
      </c>
      <c r="C98" t="s">
        <v>526</v>
      </c>
      <c r="D98" t="s">
        <v>217</v>
      </c>
      <c r="E98">
        <v>15</v>
      </c>
      <c r="F98" t="s">
        <v>718</v>
      </c>
      <c r="G98" t="s">
        <v>695</v>
      </c>
      <c r="H98" t="s">
        <v>719</v>
      </c>
      <c r="I98" t="s">
        <v>604</v>
      </c>
    </row>
    <row r="99" spans="1:9">
      <c r="A99">
        <v>98</v>
      </c>
      <c r="B99" t="s">
        <v>521</v>
      </c>
      <c r="C99" t="s">
        <v>526</v>
      </c>
      <c r="D99" t="s">
        <v>203</v>
      </c>
      <c r="E99">
        <v>8</v>
      </c>
      <c r="F99" t="s">
        <v>733</v>
      </c>
      <c r="G99" t="s">
        <v>695</v>
      </c>
      <c r="H99" t="s">
        <v>734</v>
      </c>
      <c r="I99" t="s">
        <v>613</v>
      </c>
    </row>
    <row r="100" spans="1:9">
      <c r="A100">
        <v>99</v>
      </c>
      <c r="B100" t="s">
        <v>521</v>
      </c>
      <c r="C100" t="s">
        <v>526</v>
      </c>
      <c r="D100" t="s">
        <v>218</v>
      </c>
      <c r="E100">
        <v>7</v>
      </c>
      <c r="F100" t="s">
        <v>720</v>
      </c>
      <c r="G100" t="s">
        <v>695</v>
      </c>
      <c r="H100" t="s">
        <v>721</v>
      </c>
      <c r="I100" t="s">
        <v>605</v>
      </c>
    </row>
    <row r="101" spans="1:9">
      <c r="A101">
        <v>100</v>
      </c>
      <c r="B101" t="s">
        <v>521</v>
      </c>
      <c r="C101" t="s">
        <v>526</v>
      </c>
      <c r="D101" t="s">
        <v>194</v>
      </c>
      <c r="E101">
        <v>5</v>
      </c>
      <c r="F101" t="s">
        <v>733</v>
      </c>
      <c r="G101" t="s">
        <v>695</v>
      </c>
      <c r="H101" t="s">
        <v>734</v>
      </c>
      <c r="I101" t="s">
        <v>613</v>
      </c>
    </row>
    <row r="102" spans="1:9">
      <c r="A102">
        <v>101</v>
      </c>
      <c r="B102" t="s">
        <v>521</v>
      </c>
      <c r="C102" t="s">
        <v>526</v>
      </c>
      <c r="D102" t="s">
        <v>195</v>
      </c>
      <c r="E102">
        <v>5</v>
      </c>
      <c r="F102" t="s">
        <v>723</v>
      </c>
      <c r="G102" t="s">
        <v>699</v>
      </c>
      <c r="H102" t="s">
        <v>724</v>
      </c>
      <c r="I102" t="s">
        <v>607</v>
      </c>
    </row>
    <row r="103" spans="1:9">
      <c r="A103">
        <v>102</v>
      </c>
      <c r="B103" t="s">
        <v>521</v>
      </c>
      <c r="C103" t="s">
        <v>527</v>
      </c>
      <c r="D103" t="s">
        <v>219</v>
      </c>
      <c r="E103">
        <v>45</v>
      </c>
      <c r="F103" t="s">
        <v>735</v>
      </c>
      <c r="G103" t="s">
        <v>695</v>
      </c>
      <c r="H103" t="s">
        <v>736</v>
      </c>
      <c r="I103" t="s">
        <v>614</v>
      </c>
    </row>
    <row r="104" spans="1:9">
      <c r="A104">
        <v>103</v>
      </c>
      <c r="B104" t="s">
        <v>521</v>
      </c>
      <c r="C104" t="s">
        <v>527</v>
      </c>
      <c r="D104" t="s">
        <v>116</v>
      </c>
      <c r="E104">
        <v>20</v>
      </c>
      <c r="F104" t="s">
        <v>735</v>
      </c>
      <c r="G104" t="s">
        <v>695</v>
      </c>
      <c r="H104" t="s">
        <v>736</v>
      </c>
      <c r="I104" t="s">
        <v>614</v>
      </c>
    </row>
    <row r="105" spans="1:9">
      <c r="A105">
        <v>104</v>
      </c>
      <c r="B105" t="s">
        <v>521</v>
      </c>
      <c r="C105" t="s">
        <v>527</v>
      </c>
      <c r="D105" t="s">
        <v>221</v>
      </c>
      <c r="E105">
        <v>7</v>
      </c>
      <c r="F105" t="s">
        <v>735</v>
      </c>
      <c r="G105" t="s">
        <v>695</v>
      </c>
      <c r="H105" t="s">
        <v>736</v>
      </c>
      <c r="I105" t="s">
        <v>614</v>
      </c>
    </row>
    <row r="106" spans="1:9">
      <c r="A106">
        <v>105</v>
      </c>
      <c r="B106" t="s">
        <v>521</v>
      </c>
      <c r="C106" t="s">
        <v>527</v>
      </c>
      <c r="D106" t="s">
        <v>222</v>
      </c>
      <c r="E106">
        <v>8</v>
      </c>
      <c r="F106" t="s">
        <v>735</v>
      </c>
      <c r="G106" t="s">
        <v>695</v>
      </c>
      <c r="H106" t="s">
        <v>736</v>
      </c>
      <c r="I106" t="s">
        <v>614</v>
      </c>
    </row>
    <row r="107" spans="1:9">
      <c r="A107">
        <v>106</v>
      </c>
      <c r="B107" t="s">
        <v>521</v>
      </c>
      <c r="C107" t="s">
        <v>527</v>
      </c>
      <c r="D107" t="s">
        <v>199</v>
      </c>
      <c r="E107">
        <v>8</v>
      </c>
      <c r="F107" t="s">
        <v>727</v>
      </c>
      <c r="G107" t="s">
        <v>495</v>
      </c>
      <c r="H107" t="s">
        <v>728</v>
      </c>
      <c r="I107" t="s">
        <v>609</v>
      </c>
    </row>
    <row r="108" spans="1:9">
      <c r="A108">
        <v>107</v>
      </c>
      <c r="B108" t="s">
        <v>521</v>
      </c>
      <c r="C108" t="s">
        <v>527</v>
      </c>
      <c r="D108" t="s">
        <v>223</v>
      </c>
      <c r="E108">
        <v>8</v>
      </c>
      <c r="F108" t="s">
        <v>735</v>
      </c>
      <c r="G108" t="s">
        <v>695</v>
      </c>
      <c r="H108" t="s">
        <v>736</v>
      </c>
      <c r="I108" t="s">
        <v>614</v>
      </c>
    </row>
    <row r="109" spans="1:9">
      <c r="A109">
        <v>108</v>
      </c>
      <c r="B109" t="s">
        <v>521</v>
      </c>
      <c r="C109" t="s">
        <v>527</v>
      </c>
      <c r="D109" t="s">
        <v>224</v>
      </c>
      <c r="E109">
        <v>4</v>
      </c>
      <c r="F109" t="s">
        <v>710</v>
      </c>
      <c r="G109" t="s">
        <v>699</v>
      </c>
      <c r="H109" t="s">
        <v>722</v>
      </c>
      <c r="I109" t="s">
        <v>606</v>
      </c>
    </row>
    <row r="110" spans="1:9">
      <c r="A110">
        <v>109</v>
      </c>
      <c r="B110" t="s">
        <v>521</v>
      </c>
      <c r="C110" t="s">
        <v>528</v>
      </c>
      <c r="D110" t="s">
        <v>225</v>
      </c>
      <c r="E110">
        <v>55</v>
      </c>
      <c r="F110" t="s">
        <v>735</v>
      </c>
      <c r="G110" t="s">
        <v>695</v>
      </c>
      <c r="H110" t="s">
        <v>736</v>
      </c>
      <c r="I110" t="s">
        <v>614</v>
      </c>
    </row>
    <row r="111" spans="1:9">
      <c r="A111">
        <v>110</v>
      </c>
      <c r="B111" t="s">
        <v>521</v>
      </c>
      <c r="C111" t="s">
        <v>528</v>
      </c>
      <c r="D111" t="s">
        <v>226</v>
      </c>
      <c r="E111">
        <v>8</v>
      </c>
      <c r="F111" t="s">
        <v>735</v>
      </c>
      <c r="G111" t="s">
        <v>695</v>
      </c>
      <c r="H111" t="s">
        <v>736</v>
      </c>
      <c r="I111" t="s">
        <v>614</v>
      </c>
    </row>
    <row r="112" spans="1:9">
      <c r="A112">
        <v>111</v>
      </c>
      <c r="B112" t="s">
        <v>521</v>
      </c>
      <c r="C112" t="s">
        <v>528</v>
      </c>
      <c r="D112" t="s">
        <v>227</v>
      </c>
      <c r="E112">
        <v>10</v>
      </c>
      <c r="F112" t="s">
        <v>725</v>
      </c>
      <c r="G112" t="s">
        <v>695</v>
      </c>
      <c r="H112" t="s">
        <v>726</v>
      </c>
      <c r="I112" t="s">
        <v>608</v>
      </c>
    </row>
    <row r="113" spans="1:9">
      <c r="A113">
        <v>112</v>
      </c>
      <c r="B113" t="s">
        <v>521</v>
      </c>
      <c r="C113" t="s">
        <v>528</v>
      </c>
      <c r="D113" t="s">
        <v>228</v>
      </c>
      <c r="E113">
        <v>8</v>
      </c>
      <c r="F113" t="s">
        <v>718</v>
      </c>
      <c r="G113" t="s">
        <v>695</v>
      </c>
      <c r="H113" t="s">
        <v>719</v>
      </c>
      <c r="I113" t="s">
        <v>604</v>
      </c>
    </row>
    <row r="114" spans="1:9">
      <c r="A114">
        <v>113</v>
      </c>
      <c r="B114" t="s">
        <v>521</v>
      </c>
      <c r="C114" t="s">
        <v>528</v>
      </c>
      <c r="D114" t="s">
        <v>199</v>
      </c>
      <c r="E114">
        <v>6</v>
      </c>
      <c r="F114" t="s">
        <v>727</v>
      </c>
      <c r="G114" t="s">
        <v>495</v>
      </c>
      <c r="H114" t="s">
        <v>728</v>
      </c>
      <c r="I114" t="s">
        <v>609</v>
      </c>
    </row>
    <row r="115" spans="1:9">
      <c r="A115">
        <v>114</v>
      </c>
      <c r="B115" t="s">
        <v>521</v>
      </c>
      <c r="C115" t="s">
        <v>528</v>
      </c>
      <c r="D115" t="s">
        <v>229</v>
      </c>
      <c r="E115">
        <v>8</v>
      </c>
      <c r="F115" t="s">
        <v>723</v>
      </c>
      <c r="G115" t="s">
        <v>699</v>
      </c>
      <c r="H115" t="s">
        <v>724</v>
      </c>
      <c r="I115" t="s">
        <v>607</v>
      </c>
    </row>
    <row r="116" spans="1:9">
      <c r="A116">
        <v>115</v>
      </c>
      <c r="B116" t="s">
        <v>521</v>
      </c>
      <c r="C116" t="s">
        <v>528</v>
      </c>
      <c r="D116" t="s">
        <v>230</v>
      </c>
      <c r="E116">
        <v>5</v>
      </c>
      <c r="F116" t="s">
        <v>710</v>
      </c>
      <c r="G116" t="s">
        <v>699</v>
      </c>
      <c r="H116" t="s">
        <v>722</v>
      </c>
      <c r="I116" t="s">
        <v>606</v>
      </c>
    </row>
    <row r="117" spans="1:9">
      <c r="A117">
        <v>116</v>
      </c>
      <c r="B117" t="s">
        <v>521</v>
      </c>
      <c r="C117" t="s">
        <v>529</v>
      </c>
      <c r="D117" t="s">
        <v>231</v>
      </c>
      <c r="E117">
        <v>45</v>
      </c>
      <c r="F117" t="s">
        <v>716</v>
      </c>
      <c r="G117" t="s">
        <v>695</v>
      </c>
      <c r="H117" t="s">
        <v>717</v>
      </c>
      <c r="I117" t="s">
        <v>603</v>
      </c>
    </row>
    <row r="118" spans="1:9">
      <c r="A118">
        <v>117</v>
      </c>
      <c r="B118" t="s">
        <v>521</v>
      </c>
      <c r="C118" t="s">
        <v>529</v>
      </c>
      <c r="D118" t="s">
        <v>232</v>
      </c>
      <c r="E118">
        <v>8</v>
      </c>
      <c r="F118" t="s">
        <v>727</v>
      </c>
      <c r="G118" t="s">
        <v>495</v>
      </c>
      <c r="H118" t="s">
        <v>728</v>
      </c>
      <c r="I118" t="s">
        <v>609</v>
      </c>
    </row>
    <row r="119" spans="1:9">
      <c r="A119">
        <v>118</v>
      </c>
      <c r="B119" t="s">
        <v>521</v>
      </c>
      <c r="C119" t="s">
        <v>529</v>
      </c>
      <c r="D119" t="s">
        <v>233</v>
      </c>
      <c r="E119">
        <v>12</v>
      </c>
      <c r="F119" t="s">
        <v>723</v>
      </c>
      <c r="G119" t="s">
        <v>699</v>
      </c>
      <c r="H119" t="s">
        <v>724</v>
      </c>
      <c r="I119" t="s">
        <v>607</v>
      </c>
    </row>
    <row r="120" spans="1:9">
      <c r="A120">
        <v>119</v>
      </c>
      <c r="B120" t="s">
        <v>521</v>
      </c>
      <c r="C120" t="s">
        <v>529</v>
      </c>
      <c r="D120" t="s">
        <v>234</v>
      </c>
      <c r="E120">
        <v>15</v>
      </c>
      <c r="F120" t="s">
        <v>723</v>
      </c>
      <c r="G120" t="s">
        <v>699</v>
      </c>
      <c r="H120" t="s">
        <v>724</v>
      </c>
      <c r="I120" t="s">
        <v>607</v>
      </c>
    </row>
    <row r="121" spans="1:9">
      <c r="A121">
        <v>120</v>
      </c>
      <c r="B121" t="s">
        <v>521</v>
      </c>
      <c r="C121" t="s">
        <v>529</v>
      </c>
      <c r="D121" t="s">
        <v>235</v>
      </c>
      <c r="E121">
        <v>8</v>
      </c>
      <c r="F121" t="s">
        <v>720</v>
      </c>
      <c r="G121" t="s">
        <v>695</v>
      </c>
      <c r="H121" t="s">
        <v>721</v>
      </c>
      <c r="I121" t="s">
        <v>605</v>
      </c>
    </row>
    <row r="122" spans="1:9">
      <c r="A122">
        <v>121</v>
      </c>
      <c r="B122" t="s">
        <v>521</v>
      </c>
      <c r="C122" t="s">
        <v>529</v>
      </c>
      <c r="D122" t="s">
        <v>208</v>
      </c>
      <c r="E122">
        <v>5</v>
      </c>
      <c r="F122" t="s">
        <v>727</v>
      </c>
      <c r="G122" t="s">
        <v>495</v>
      </c>
      <c r="H122" t="s">
        <v>728</v>
      </c>
      <c r="I122" t="s">
        <v>609</v>
      </c>
    </row>
    <row r="123" spans="1:9">
      <c r="A123">
        <v>122</v>
      </c>
      <c r="B123" t="s">
        <v>521</v>
      </c>
      <c r="C123" t="s">
        <v>529</v>
      </c>
      <c r="D123" t="s">
        <v>236</v>
      </c>
      <c r="E123">
        <v>7</v>
      </c>
      <c r="F123" t="s">
        <v>720</v>
      </c>
      <c r="G123" t="s">
        <v>695</v>
      </c>
      <c r="H123" t="s">
        <v>721</v>
      </c>
      <c r="I123" t="s">
        <v>605</v>
      </c>
    </row>
    <row r="124" spans="1:9">
      <c r="A124">
        <v>123</v>
      </c>
      <c r="B124" t="s">
        <v>521</v>
      </c>
      <c r="C124" t="s">
        <v>91</v>
      </c>
      <c r="D124" t="s">
        <v>237</v>
      </c>
      <c r="E124">
        <v>45</v>
      </c>
      <c r="F124" t="s">
        <v>720</v>
      </c>
      <c r="G124" t="s">
        <v>695</v>
      </c>
      <c r="H124" t="s">
        <v>721</v>
      </c>
      <c r="I124" t="s">
        <v>605</v>
      </c>
    </row>
    <row r="125" spans="1:9">
      <c r="A125">
        <v>124</v>
      </c>
      <c r="B125" t="s">
        <v>521</v>
      </c>
      <c r="C125" t="s">
        <v>91</v>
      </c>
      <c r="D125" t="s">
        <v>238</v>
      </c>
      <c r="E125">
        <v>20</v>
      </c>
      <c r="F125" t="s">
        <v>720</v>
      </c>
      <c r="G125" t="s">
        <v>695</v>
      </c>
      <c r="H125" t="s">
        <v>721</v>
      </c>
      <c r="I125" t="s">
        <v>605</v>
      </c>
    </row>
    <row r="126" spans="1:9">
      <c r="A126">
        <v>125</v>
      </c>
      <c r="B126" t="s">
        <v>521</v>
      </c>
      <c r="C126" t="s">
        <v>91</v>
      </c>
      <c r="D126" t="s">
        <v>208</v>
      </c>
      <c r="E126">
        <v>10</v>
      </c>
      <c r="F126" t="s">
        <v>727</v>
      </c>
      <c r="G126" t="s">
        <v>495</v>
      </c>
      <c r="H126" t="s">
        <v>728</v>
      </c>
      <c r="I126" t="s">
        <v>609</v>
      </c>
    </row>
    <row r="127" spans="1:9">
      <c r="A127">
        <v>126</v>
      </c>
      <c r="B127" t="s">
        <v>521</v>
      </c>
      <c r="C127" t="s">
        <v>91</v>
      </c>
      <c r="D127" t="s">
        <v>239</v>
      </c>
      <c r="E127">
        <v>10</v>
      </c>
      <c r="F127" t="s">
        <v>720</v>
      </c>
      <c r="G127" t="s">
        <v>695</v>
      </c>
      <c r="H127" t="s">
        <v>721</v>
      </c>
      <c r="I127" t="s">
        <v>605</v>
      </c>
    </row>
    <row r="128" spans="1:9">
      <c r="A128">
        <v>127</v>
      </c>
      <c r="B128" t="s">
        <v>521</v>
      </c>
      <c r="C128" t="s">
        <v>91</v>
      </c>
      <c r="D128" t="s">
        <v>200</v>
      </c>
      <c r="E128">
        <v>5</v>
      </c>
      <c r="F128" t="s">
        <v>727</v>
      </c>
      <c r="G128" t="s">
        <v>495</v>
      </c>
      <c r="H128" t="s">
        <v>729</v>
      </c>
      <c r="I128" t="s">
        <v>610</v>
      </c>
    </row>
    <row r="129" spans="1:9">
      <c r="A129">
        <v>128</v>
      </c>
      <c r="B129" t="s">
        <v>521</v>
      </c>
      <c r="C129" t="s">
        <v>91</v>
      </c>
      <c r="D129" t="s">
        <v>240</v>
      </c>
      <c r="E129">
        <v>5</v>
      </c>
      <c r="F129" t="s">
        <v>723</v>
      </c>
      <c r="G129" t="s">
        <v>699</v>
      </c>
      <c r="H129" t="s">
        <v>724</v>
      </c>
      <c r="I129" t="s">
        <v>607</v>
      </c>
    </row>
    <row r="130" spans="1:9">
      <c r="A130">
        <v>129</v>
      </c>
      <c r="B130" t="s">
        <v>521</v>
      </c>
      <c r="C130" t="s">
        <v>91</v>
      </c>
      <c r="D130" t="s">
        <v>176</v>
      </c>
      <c r="E130">
        <v>5</v>
      </c>
      <c r="F130" t="s">
        <v>718</v>
      </c>
      <c r="G130" t="s">
        <v>695</v>
      </c>
      <c r="H130" t="s">
        <v>719</v>
      </c>
      <c r="I130" t="s">
        <v>604</v>
      </c>
    </row>
    <row r="131" spans="1:9">
      <c r="A131">
        <v>130</v>
      </c>
      <c r="B131" t="s">
        <v>530</v>
      </c>
      <c r="C131" t="s">
        <v>531</v>
      </c>
      <c r="D131" t="s">
        <v>241</v>
      </c>
      <c r="E131">
        <v>20</v>
      </c>
      <c r="F131" t="s">
        <v>241</v>
      </c>
      <c r="G131" t="s">
        <v>695</v>
      </c>
      <c r="H131" t="s">
        <v>737</v>
      </c>
      <c r="I131" t="s">
        <v>615</v>
      </c>
    </row>
    <row r="132" spans="1:9">
      <c r="A132">
        <v>131</v>
      </c>
      <c r="B132" t="s">
        <v>530</v>
      </c>
      <c r="C132" t="s">
        <v>531</v>
      </c>
      <c r="D132" t="s">
        <v>242</v>
      </c>
      <c r="E132">
        <v>10</v>
      </c>
      <c r="F132" t="s">
        <v>242</v>
      </c>
      <c r="G132" t="s">
        <v>695</v>
      </c>
      <c r="H132" t="s">
        <v>737</v>
      </c>
      <c r="I132" t="s">
        <v>616</v>
      </c>
    </row>
    <row r="133" spans="1:9">
      <c r="A133">
        <v>132</v>
      </c>
      <c r="B133" t="s">
        <v>530</v>
      </c>
      <c r="C133" t="s">
        <v>531</v>
      </c>
      <c r="D133" t="s">
        <v>243</v>
      </c>
      <c r="E133">
        <v>10</v>
      </c>
      <c r="F133" t="s">
        <v>243</v>
      </c>
      <c r="G133" t="s">
        <v>695</v>
      </c>
      <c r="H133" t="s">
        <v>737</v>
      </c>
      <c r="I133" t="s">
        <v>617</v>
      </c>
    </row>
    <row r="134" spans="1:9">
      <c r="A134">
        <v>133</v>
      </c>
      <c r="B134" t="s">
        <v>530</v>
      </c>
      <c r="C134" t="s">
        <v>531</v>
      </c>
      <c r="D134" t="s">
        <v>244</v>
      </c>
      <c r="E134">
        <v>2</v>
      </c>
      <c r="F134" t="s">
        <v>244</v>
      </c>
      <c r="G134" t="s">
        <v>695</v>
      </c>
      <c r="H134" t="s">
        <v>737</v>
      </c>
      <c r="I134" t="s">
        <v>618</v>
      </c>
    </row>
    <row r="135" spans="1:9">
      <c r="A135">
        <v>134</v>
      </c>
      <c r="B135" t="s">
        <v>530</v>
      </c>
      <c r="C135" t="s">
        <v>531</v>
      </c>
      <c r="D135" t="s">
        <v>245</v>
      </c>
      <c r="E135">
        <v>10</v>
      </c>
      <c r="F135" t="s">
        <v>245</v>
      </c>
      <c r="G135" t="s">
        <v>695</v>
      </c>
      <c r="H135" t="s">
        <v>737</v>
      </c>
      <c r="I135" t="s">
        <v>619</v>
      </c>
    </row>
    <row r="136" spans="1:9">
      <c r="A136">
        <v>135</v>
      </c>
      <c r="B136" t="s">
        <v>530</v>
      </c>
      <c r="C136" t="s">
        <v>531</v>
      </c>
      <c r="D136" t="s">
        <v>246</v>
      </c>
      <c r="E136">
        <v>8</v>
      </c>
      <c r="F136" t="s">
        <v>246</v>
      </c>
      <c r="G136" t="s">
        <v>695</v>
      </c>
      <c r="H136" t="s">
        <v>737</v>
      </c>
      <c r="I136" t="s">
        <v>620</v>
      </c>
    </row>
    <row r="137" spans="1:9">
      <c r="A137">
        <v>136</v>
      </c>
      <c r="B137" t="s">
        <v>530</v>
      </c>
      <c r="C137" t="s">
        <v>531</v>
      </c>
      <c r="D137" t="s">
        <v>247</v>
      </c>
      <c r="E137">
        <v>10</v>
      </c>
      <c r="F137" t="s">
        <v>247</v>
      </c>
      <c r="G137" t="s">
        <v>695</v>
      </c>
      <c r="H137" t="s">
        <v>737</v>
      </c>
      <c r="I137" t="s">
        <v>621</v>
      </c>
    </row>
    <row r="138" spans="1:9">
      <c r="A138">
        <v>137</v>
      </c>
      <c r="B138" t="s">
        <v>530</v>
      </c>
      <c r="C138" t="s">
        <v>531</v>
      </c>
      <c r="D138" t="s">
        <v>248</v>
      </c>
      <c r="E138">
        <v>30</v>
      </c>
      <c r="F138" t="s">
        <v>248</v>
      </c>
      <c r="G138" t="s">
        <v>695</v>
      </c>
      <c r="H138" t="s">
        <v>737</v>
      </c>
      <c r="I138" t="s">
        <v>622</v>
      </c>
    </row>
    <row r="139" spans="1:9">
      <c r="A139">
        <v>138</v>
      </c>
      <c r="B139" t="s">
        <v>530</v>
      </c>
      <c r="C139" t="s">
        <v>532</v>
      </c>
      <c r="D139" t="s">
        <v>241</v>
      </c>
      <c r="E139">
        <v>25</v>
      </c>
      <c r="F139" t="s">
        <v>241</v>
      </c>
      <c r="G139" t="s">
        <v>695</v>
      </c>
      <c r="H139" t="s">
        <v>737</v>
      </c>
      <c r="I139" t="s">
        <v>615</v>
      </c>
    </row>
    <row r="140" spans="1:9">
      <c r="A140">
        <v>139</v>
      </c>
      <c r="B140" t="s">
        <v>530</v>
      </c>
      <c r="C140" t="s">
        <v>532</v>
      </c>
      <c r="D140" t="s">
        <v>242</v>
      </c>
      <c r="E140">
        <v>15</v>
      </c>
      <c r="F140" t="s">
        <v>242</v>
      </c>
      <c r="G140" t="s">
        <v>695</v>
      </c>
      <c r="H140" t="s">
        <v>737</v>
      </c>
      <c r="I140" t="s">
        <v>616</v>
      </c>
    </row>
    <row r="141" spans="1:9">
      <c r="A141">
        <v>140</v>
      </c>
      <c r="B141" t="s">
        <v>530</v>
      </c>
      <c r="C141" t="s">
        <v>532</v>
      </c>
      <c r="D141" t="s">
        <v>243</v>
      </c>
      <c r="E141">
        <v>15</v>
      </c>
      <c r="F141" t="s">
        <v>243</v>
      </c>
      <c r="G141" t="s">
        <v>695</v>
      </c>
      <c r="H141" t="s">
        <v>737</v>
      </c>
      <c r="I141" t="s">
        <v>617</v>
      </c>
    </row>
    <row r="142" spans="1:9">
      <c r="A142">
        <v>141</v>
      </c>
      <c r="B142" t="s">
        <v>530</v>
      </c>
      <c r="C142" t="s">
        <v>532</v>
      </c>
      <c r="D142" t="s">
        <v>245</v>
      </c>
      <c r="E142">
        <v>8</v>
      </c>
      <c r="F142" t="s">
        <v>245</v>
      </c>
      <c r="G142" t="s">
        <v>695</v>
      </c>
      <c r="H142" t="s">
        <v>737</v>
      </c>
      <c r="I142" t="s">
        <v>619</v>
      </c>
    </row>
    <row r="143" spans="1:9">
      <c r="A143">
        <v>142</v>
      </c>
      <c r="B143" t="s">
        <v>530</v>
      </c>
      <c r="C143" t="s">
        <v>532</v>
      </c>
      <c r="D143" t="s">
        <v>246</v>
      </c>
      <c r="E143">
        <v>7</v>
      </c>
      <c r="F143" t="s">
        <v>246</v>
      </c>
      <c r="G143" t="s">
        <v>695</v>
      </c>
      <c r="H143" t="s">
        <v>737</v>
      </c>
      <c r="I143" t="s">
        <v>620</v>
      </c>
    </row>
    <row r="144" spans="1:9">
      <c r="A144">
        <v>143</v>
      </c>
      <c r="B144" t="s">
        <v>530</v>
      </c>
      <c r="C144" t="s">
        <v>532</v>
      </c>
      <c r="D144" t="s">
        <v>249</v>
      </c>
      <c r="E144">
        <v>10</v>
      </c>
      <c r="F144" t="s">
        <v>243</v>
      </c>
      <c r="G144" t="s">
        <v>695</v>
      </c>
      <c r="H144" t="s">
        <v>737</v>
      </c>
      <c r="I144" t="s">
        <v>617</v>
      </c>
    </row>
    <row r="145" spans="1:9">
      <c r="A145">
        <v>144</v>
      </c>
      <c r="B145" t="s">
        <v>530</v>
      </c>
      <c r="C145" t="s">
        <v>532</v>
      </c>
      <c r="D145" t="s">
        <v>248</v>
      </c>
      <c r="E145">
        <v>15</v>
      </c>
      <c r="F145" t="s">
        <v>248</v>
      </c>
      <c r="G145" t="s">
        <v>695</v>
      </c>
      <c r="H145" t="s">
        <v>737</v>
      </c>
      <c r="I145" t="s">
        <v>622</v>
      </c>
    </row>
    <row r="146" spans="1:9">
      <c r="A146">
        <v>145</v>
      </c>
      <c r="B146" t="s">
        <v>530</v>
      </c>
      <c r="C146" t="s">
        <v>532</v>
      </c>
      <c r="D146" t="s">
        <v>250</v>
      </c>
      <c r="E146">
        <v>5</v>
      </c>
      <c r="F146" t="s">
        <v>738</v>
      </c>
      <c r="G146" t="s">
        <v>495</v>
      </c>
      <c r="H146" t="s">
        <v>739</v>
      </c>
      <c r="I146" t="s">
        <v>623</v>
      </c>
    </row>
    <row r="147" spans="1:9">
      <c r="A147">
        <v>146</v>
      </c>
      <c r="B147" t="s">
        <v>530</v>
      </c>
      <c r="C147" t="s">
        <v>533</v>
      </c>
      <c r="D147" t="s">
        <v>251</v>
      </c>
      <c r="E147">
        <v>35</v>
      </c>
      <c r="F147" t="s">
        <v>241</v>
      </c>
      <c r="G147" t="s">
        <v>695</v>
      </c>
      <c r="H147" t="s">
        <v>737</v>
      </c>
      <c r="I147" t="s">
        <v>615</v>
      </c>
    </row>
    <row r="148" spans="1:9">
      <c r="A148">
        <v>147</v>
      </c>
      <c r="B148" t="s">
        <v>530</v>
      </c>
      <c r="C148" t="s">
        <v>533</v>
      </c>
      <c r="D148" t="s">
        <v>252</v>
      </c>
      <c r="E148">
        <v>20</v>
      </c>
      <c r="F148" t="s">
        <v>243</v>
      </c>
      <c r="G148" t="s">
        <v>695</v>
      </c>
      <c r="H148" t="s">
        <v>737</v>
      </c>
      <c r="I148" t="s">
        <v>617</v>
      </c>
    </row>
    <row r="149" spans="1:9">
      <c r="A149">
        <v>148</v>
      </c>
      <c r="B149" t="s">
        <v>530</v>
      </c>
      <c r="C149" t="s">
        <v>533</v>
      </c>
      <c r="D149" t="s">
        <v>253</v>
      </c>
      <c r="E149">
        <v>20</v>
      </c>
      <c r="F149" t="s">
        <v>248</v>
      </c>
      <c r="G149" t="s">
        <v>695</v>
      </c>
      <c r="H149" t="s">
        <v>737</v>
      </c>
      <c r="I149" t="s">
        <v>622</v>
      </c>
    </row>
    <row r="150" spans="1:9">
      <c r="A150">
        <v>149</v>
      </c>
      <c r="B150" t="s">
        <v>530</v>
      </c>
      <c r="C150" t="s">
        <v>533</v>
      </c>
      <c r="D150" t="s">
        <v>254</v>
      </c>
      <c r="E150">
        <v>10</v>
      </c>
      <c r="F150" t="s">
        <v>243</v>
      </c>
      <c r="G150" t="s">
        <v>695</v>
      </c>
      <c r="H150" t="s">
        <v>737</v>
      </c>
      <c r="I150" t="s">
        <v>617</v>
      </c>
    </row>
    <row r="151" spans="1:9">
      <c r="A151">
        <v>150</v>
      </c>
      <c r="B151" t="s">
        <v>530</v>
      </c>
      <c r="C151" t="s">
        <v>533</v>
      </c>
      <c r="D151" t="s">
        <v>255</v>
      </c>
      <c r="E151">
        <v>5</v>
      </c>
      <c r="F151" t="s">
        <v>246</v>
      </c>
      <c r="G151" t="s">
        <v>695</v>
      </c>
      <c r="H151" t="s">
        <v>737</v>
      </c>
      <c r="I151" t="s">
        <v>620</v>
      </c>
    </row>
    <row r="152" spans="1:9">
      <c r="A152">
        <v>151</v>
      </c>
      <c r="B152" t="s">
        <v>530</v>
      </c>
      <c r="C152" t="s">
        <v>533</v>
      </c>
      <c r="D152" t="s">
        <v>256</v>
      </c>
      <c r="E152">
        <v>3</v>
      </c>
      <c r="F152" t="s">
        <v>244</v>
      </c>
      <c r="G152" t="s">
        <v>695</v>
      </c>
      <c r="H152" t="s">
        <v>737</v>
      </c>
      <c r="I152" t="s">
        <v>618</v>
      </c>
    </row>
    <row r="153" spans="1:9">
      <c r="A153">
        <v>152</v>
      </c>
      <c r="B153" t="s">
        <v>530</v>
      </c>
      <c r="C153" t="s">
        <v>533</v>
      </c>
      <c r="D153" t="s">
        <v>257</v>
      </c>
      <c r="E153">
        <v>7</v>
      </c>
      <c r="F153" t="s">
        <v>738</v>
      </c>
      <c r="G153" t="s">
        <v>495</v>
      </c>
      <c r="H153" t="s">
        <v>739</v>
      </c>
      <c r="I153" t="s">
        <v>623</v>
      </c>
    </row>
    <row r="154" spans="1:9">
      <c r="A154">
        <v>153</v>
      </c>
      <c r="B154" t="s">
        <v>530</v>
      </c>
      <c r="C154" t="s">
        <v>534</v>
      </c>
      <c r="D154" t="s">
        <v>258</v>
      </c>
      <c r="E154">
        <v>45</v>
      </c>
      <c r="F154" t="s">
        <v>245</v>
      </c>
      <c r="G154" t="s">
        <v>695</v>
      </c>
      <c r="H154" t="s">
        <v>737</v>
      </c>
      <c r="I154" t="s">
        <v>619</v>
      </c>
    </row>
    <row r="155" spans="1:9">
      <c r="A155">
        <v>154</v>
      </c>
      <c r="B155" t="s">
        <v>530</v>
      </c>
      <c r="C155" t="s">
        <v>534</v>
      </c>
      <c r="D155" t="s">
        <v>259</v>
      </c>
      <c r="E155">
        <v>12</v>
      </c>
      <c r="F155" t="s">
        <v>245</v>
      </c>
      <c r="G155" t="s">
        <v>695</v>
      </c>
      <c r="H155" t="s">
        <v>737</v>
      </c>
      <c r="I155" t="s">
        <v>619</v>
      </c>
    </row>
    <row r="156" spans="1:9">
      <c r="A156">
        <v>155</v>
      </c>
      <c r="B156" t="s">
        <v>530</v>
      </c>
      <c r="C156" t="s">
        <v>534</v>
      </c>
      <c r="D156" t="s">
        <v>260</v>
      </c>
      <c r="E156">
        <v>18</v>
      </c>
      <c r="F156" t="s">
        <v>248</v>
      </c>
      <c r="G156" t="s">
        <v>695</v>
      </c>
      <c r="H156" t="s">
        <v>737</v>
      </c>
      <c r="I156" t="s">
        <v>622</v>
      </c>
    </row>
    <row r="157" spans="1:9">
      <c r="A157">
        <v>156</v>
      </c>
      <c r="B157" t="s">
        <v>530</v>
      </c>
      <c r="C157" t="s">
        <v>534</v>
      </c>
      <c r="D157" t="s">
        <v>261</v>
      </c>
      <c r="E157">
        <v>8</v>
      </c>
      <c r="F157" t="s">
        <v>243</v>
      </c>
      <c r="G157" t="s">
        <v>695</v>
      </c>
      <c r="H157" t="s">
        <v>737</v>
      </c>
      <c r="I157" t="s">
        <v>617</v>
      </c>
    </row>
    <row r="158" spans="1:9">
      <c r="A158">
        <v>157</v>
      </c>
      <c r="B158" t="s">
        <v>530</v>
      </c>
      <c r="C158" t="s">
        <v>534</v>
      </c>
      <c r="D158" t="s">
        <v>262</v>
      </c>
      <c r="E158">
        <v>7</v>
      </c>
      <c r="F158" t="s">
        <v>243</v>
      </c>
      <c r="G158" t="s">
        <v>695</v>
      </c>
      <c r="H158" t="s">
        <v>737</v>
      </c>
      <c r="I158" t="s">
        <v>617</v>
      </c>
    </row>
    <row r="159" spans="1:9">
      <c r="A159">
        <v>158</v>
      </c>
      <c r="B159" t="s">
        <v>530</v>
      </c>
      <c r="C159" t="s">
        <v>534</v>
      </c>
      <c r="D159" t="s">
        <v>263</v>
      </c>
      <c r="E159">
        <v>10</v>
      </c>
      <c r="F159" t="s">
        <v>738</v>
      </c>
      <c r="G159" t="s">
        <v>495</v>
      </c>
      <c r="H159" t="s">
        <v>739</v>
      </c>
      <c r="I159" t="s">
        <v>623</v>
      </c>
    </row>
    <row r="160" spans="1:9">
      <c r="A160">
        <v>159</v>
      </c>
      <c r="B160" t="s">
        <v>530</v>
      </c>
      <c r="C160" t="s">
        <v>535</v>
      </c>
      <c r="D160" t="s">
        <v>264</v>
      </c>
      <c r="E160">
        <v>50</v>
      </c>
      <c r="F160" t="s">
        <v>246</v>
      </c>
      <c r="G160" t="s">
        <v>695</v>
      </c>
      <c r="H160" t="s">
        <v>737</v>
      </c>
      <c r="I160" t="s">
        <v>620</v>
      </c>
    </row>
    <row r="161" spans="1:9">
      <c r="A161">
        <v>160</v>
      </c>
      <c r="B161" t="s">
        <v>530</v>
      </c>
      <c r="C161" t="s">
        <v>535</v>
      </c>
      <c r="D161" t="s">
        <v>265</v>
      </c>
      <c r="E161">
        <v>10</v>
      </c>
      <c r="F161" t="s">
        <v>246</v>
      </c>
      <c r="G161" t="s">
        <v>695</v>
      </c>
      <c r="H161" t="s">
        <v>737</v>
      </c>
      <c r="I161" t="s">
        <v>620</v>
      </c>
    </row>
    <row r="162" spans="1:9">
      <c r="A162">
        <v>161</v>
      </c>
      <c r="B162" t="s">
        <v>530</v>
      </c>
      <c r="C162" t="s">
        <v>535</v>
      </c>
      <c r="D162" t="s">
        <v>266</v>
      </c>
      <c r="E162">
        <v>8</v>
      </c>
      <c r="F162" t="s">
        <v>246</v>
      </c>
      <c r="G162" t="s">
        <v>695</v>
      </c>
      <c r="H162" t="s">
        <v>737</v>
      </c>
      <c r="I162" t="s">
        <v>620</v>
      </c>
    </row>
    <row r="163" spans="1:9">
      <c r="A163">
        <v>162</v>
      </c>
      <c r="B163" t="s">
        <v>530</v>
      </c>
      <c r="C163" t="s">
        <v>535</v>
      </c>
      <c r="D163" t="s">
        <v>199</v>
      </c>
      <c r="E163">
        <v>10</v>
      </c>
      <c r="F163" t="s">
        <v>738</v>
      </c>
      <c r="G163" t="s">
        <v>495</v>
      </c>
      <c r="H163" t="s">
        <v>739</v>
      </c>
      <c r="I163" t="s">
        <v>623</v>
      </c>
    </row>
    <row r="164" spans="1:9">
      <c r="A164">
        <v>163</v>
      </c>
      <c r="B164" t="s">
        <v>530</v>
      </c>
      <c r="C164" t="s">
        <v>535</v>
      </c>
      <c r="D164" t="s">
        <v>267</v>
      </c>
      <c r="E164">
        <v>10</v>
      </c>
      <c r="F164" t="s">
        <v>246</v>
      </c>
      <c r="G164" t="s">
        <v>695</v>
      </c>
      <c r="H164" t="s">
        <v>737</v>
      </c>
      <c r="I164" t="s">
        <v>620</v>
      </c>
    </row>
    <row r="165" spans="1:9">
      <c r="A165">
        <v>164</v>
      </c>
      <c r="B165" t="s">
        <v>530</v>
      </c>
      <c r="C165" t="s">
        <v>535</v>
      </c>
      <c r="D165" t="s">
        <v>268</v>
      </c>
      <c r="E165">
        <v>2</v>
      </c>
      <c r="F165" t="s">
        <v>248</v>
      </c>
      <c r="G165" t="s">
        <v>695</v>
      </c>
      <c r="H165" t="s">
        <v>737</v>
      </c>
      <c r="I165" t="s">
        <v>622</v>
      </c>
    </row>
    <row r="166" spans="1:9">
      <c r="A166">
        <v>165</v>
      </c>
      <c r="B166" t="s">
        <v>530</v>
      </c>
      <c r="C166" t="s">
        <v>535</v>
      </c>
      <c r="D166" t="s">
        <v>269</v>
      </c>
      <c r="E166">
        <v>10</v>
      </c>
      <c r="F166" t="s">
        <v>738</v>
      </c>
      <c r="G166" t="s">
        <v>495</v>
      </c>
      <c r="H166" t="s">
        <v>739</v>
      </c>
      <c r="I166" t="s">
        <v>623</v>
      </c>
    </row>
    <row r="167" spans="1:9">
      <c r="A167">
        <v>166</v>
      </c>
      <c r="B167" t="s">
        <v>530</v>
      </c>
      <c r="C167" t="s">
        <v>536</v>
      </c>
      <c r="D167" t="s">
        <v>270</v>
      </c>
      <c r="E167">
        <v>35</v>
      </c>
      <c r="F167" t="s">
        <v>242</v>
      </c>
      <c r="G167" t="s">
        <v>695</v>
      </c>
      <c r="H167" t="s">
        <v>737</v>
      </c>
      <c r="I167" t="s">
        <v>616</v>
      </c>
    </row>
    <row r="168" spans="1:9">
      <c r="A168">
        <v>167</v>
      </c>
      <c r="B168" t="s">
        <v>530</v>
      </c>
      <c r="C168" t="s">
        <v>536</v>
      </c>
      <c r="D168" t="s">
        <v>271</v>
      </c>
      <c r="E168">
        <v>20</v>
      </c>
      <c r="F168" t="s">
        <v>242</v>
      </c>
      <c r="G168" t="s">
        <v>695</v>
      </c>
      <c r="H168" t="s">
        <v>737</v>
      </c>
      <c r="I168" t="s">
        <v>616</v>
      </c>
    </row>
    <row r="169" spans="1:9">
      <c r="A169">
        <v>168</v>
      </c>
      <c r="B169" t="s">
        <v>530</v>
      </c>
      <c r="C169" t="s">
        <v>536</v>
      </c>
      <c r="D169" t="s">
        <v>272</v>
      </c>
      <c r="E169">
        <v>10</v>
      </c>
      <c r="F169" t="s">
        <v>242</v>
      </c>
      <c r="G169" t="s">
        <v>695</v>
      </c>
      <c r="H169" t="s">
        <v>737</v>
      </c>
      <c r="I169" t="s">
        <v>616</v>
      </c>
    </row>
    <row r="170" spans="1:9">
      <c r="A170">
        <v>169</v>
      </c>
      <c r="B170" t="s">
        <v>530</v>
      </c>
      <c r="C170" t="s">
        <v>536</v>
      </c>
      <c r="D170" t="s">
        <v>253</v>
      </c>
      <c r="E170">
        <v>15</v>
      </c>
      <c r="F170" t="s">
        <v>248</v>
      </c>
      <c r="G170" t="s">
        <v>695</v>
      </c>
      <c r="H170" t="s">
        <v>737</v>
      </c>
      <c r="I170" t="s">
        <v>622</v>
      </c>
    </row>
    <row r="171" spans="1:9">
      <c r="A171">
        <v>170</v>
      </c>
      <c r="B171" t="s">
        <v>530</v>
      </c>
      <c r="C171" t="s">
        <v>536</v>
      </c>
      <c r="D171" t="s">
        <v>273</v>
      </c>
      <c r="E171">
        <v>8</v>
      </c>
      <c r="F171" t="s">
        <v>243</v>
      </c>
      <c r="G171" t="s">
        <v>695</v>
      </c>
      <c r="H171" t="s">
        <v>737</v>
      </c>
      <c r="I171" t="s">
        <v>617</v>
      </c>
    </row>
    <row r="172" spans="1:9">
      <c r="A172">
        <v>171</v>
      </c>
      <c r="B172" t="s">
        <v>530</v>
      </c>
      <c r="C172" t="s">
        <v>536</v>
      </c>
      <c r="D172" t="s">
        <v>274</v>
      </c>
      <c r="E172">
        <v>4</v>
      </c>
      <c r="F172" t="s">
        <v>246</v>
      </c>
      <c r="G172" t="s">
        <v>695</v>
      </c>
      <c r="H172" t="s">
        <v>737</v>
      </c>
      <c r="I172" t="s">
        <v>620</v>
      </c>
    </row>
    <row r="173" spans="1:9">
      <c r="A173">
        <v>172</v>
      </c>
      <c r="B173" t="s">
        <v>530</v>
      </c>
      <c r="C173" t="s">
        <v>536</v>
      </c>
      <c r="D173" t="s">
        <v>275</v>
      </c>
      <c r="E173">
        <v>8</v>
      </c>
      <c r="F173" t="s">
        <v>738</v>
      </c>
      <c r="G173" t="s">
        <v>495</v>
      </c>
      <c r="H173" t="s">
        <v>739</v>
      </c>
      <c r="I173" t="s">
        <v>623</v>
      </c>
    </row>
    <row r="174" spans="1:9">
      <c r="A174">
        <v>173</v>
      </c>
      <c r="B174" t="s">
        <v>530</v>
      </c>
      <c r="C174" t="s">
        <v>537</v>
      </c>
      <c r="D174" t="s">
        <v>276</v>
      </c>
      <c r="E174">
        <v>30</v>
      </c>
      <c r="F174" t="s">
        <v>246</v>
      </c>
      <c r="G174" t="s">
        <v>695</v>
      </c>
      <c r="H174" t="s">
        <v>737</v>
      </c>
      <c r="I174" t="s">
        <v>620</v>
      </c>
    </row>
    <row r="175" spans="1:9">
      <c r="A175">
        <v>174</v>
      </c>
      <c r="B175" t="s">
        <v>530</v>
      </c>
      <c r="C175" t="s">
        <v>537</v>
      </c>
      <c r="D175" t="s">
        <v>278</v>
      </c>
      <c r="E175">
        <v>20</v>
      </c>
      <c r="F175" t="s">
        <v>246</v>
      </c>
      <c r="G175" t="s">
        <v>695</v>
      </c>
      <c r="H175" t="s">
        <v>737</v>
      </c>
      <c r="I175" t="s">
        <v>620</v>
      </c>
    </row>
    <row r="176" spans="1:9">
      <c r="A176">
        <v>175</v>
      </c>
      <c r="B176" t="s">
        <v>530</v>
      </c>
      <c r="C176" t="s">
        <v>537</v>
      </c>
      <c r="D176" t="s">
        <v>279</v>
      </c>
      <c r="E176">
        <v>20</v>
      </c>
      <c r="F176" t="s">
        <v>738</v>
      </c>
      <c r="G176" t="s">
        <v>495</v>
      </c>
      <c r="H176" t="s">
        <v>739</v>
      </c>
      <c r="I176" t="s">
        <v>623</v>
      </c>
    </row>
    <row r="177" spans="1:9">
      <c r="A177">
        <v>176</v>
      </c>
      <c r="B177" t="s">
        <v>530</v>
      </c>
      <c r="C177" t="s">
        <v>537</v>
      </c>
      <c r="D177" t="s">
        <v>280</v>
      </c>
      <c r="E177">
        <v>10</v>
      </c>
      <c r="F177" t="s">
        <v>243</v>
      </c>
      <c r="G177" t="s">
        <v>695</v>
      </c>
      <c r="H177" t="s">
        <v>737</v>
      </c>
      <c r="I177" t="s">
        <v>617</v>
      </c>
    </row>
    <row r="178" spans="1:9">
      <c r="A178">
        <v>177</v>
      </c>
      <c r="B178" t="s">
        <v>530</v>
      </c>
      <c r="C178" t="s">
        <v>537</v>
      </c>
      <c r="D178" t="s">
        <v>199</v>
      </c>
      <c r="E178">
        <v>8</v>
      </c>
      <c r="F178" t="s">
        <v>738</v>
      </c>
      <c r="G178" t="s">
        <v>495</v>
      </c>
      <c r="H178" t="s">
        <v>739</v>
      </c>
      <c r="I178" t="s">
        <v>623</v>
      </c>
    </row>
    <row r="179" spans="1:9">
      <c r="A179">
        <v>178</v>
      </c>
      <c r="B179" t="s">
        <v>530</v>
      </c>
      <c r="C179" t="s">
        <v>537</v>
      </c>
      <c r="D179" t="s">
        <v>281</v>
      </c>
      <c r="E179">
        <v>7</v>
      </c>
      <c r="F179" t="s">
        <v>738</v>
      </c>
      <c r="G179" t="s">
        <v>495</v>
      </c>
      <c r="H179" t="s">
        <v>739</v>
      </c>
      <c r="I179" t="s">
        <v>623</v>
      </c>
    </row>
    <row r="180" spans="1:9">
      <c r="A180">
        <v>179</v>
      </c>
      <c r="B180" t="s">
        <v>530</v>
      </c>
      <c r="C180" t="s">
        <v>537</v>
      </c>
      <c r="D180" t="s">
        <v>282</v>
      </c>
      <c r="E180">
        <v>5</v>
      </c>
      <c r="F180" t="s">
        <v>738</v>
      </c>
      <c r="G180" t="s">
        <v>495</v>
      </c>
      <c r="H180" t="s">
        <v>739</v>
      </c>
      <c r="I180" t="s">
        <v>623</v>
      </c>
    </row>
    <row r="181" spans="1:9">
      <c r="A181">
        <v>180</v>
      </c>
      <c r="B181" t="s">
        <v>538</v>
      </c>
      <c r="C181" t="s">
        <v>539</v>
      </c>
      <c r="D181" t="s">
        <v>283</v>
      </c>
      <c r="E181">
        <v>45</v>
      </c>
      <c r="F181" t="s">
        <v>740</v>
      </c>
      <c r="G181" t="s">
        <v>695</v>
      </c>
      <c r="H181" t="s">
        <v>741</v>
      </c>
      <c r="I181" t="s">
        <v>624</v>
      </c>
    </row>
    <row r="182" spans="1:9">
      <c r="A182">
        <v>181</v>
      </c>
      <c r="B182" t="s">
        <v>538</v>
      </c>
      <c r="C182" t="s">
        <v>539</v>
      </c>
      <c r="D182" t="s">
        <v>285</v>
      </c>
      <c r="E182">
        <v>8</v>
      </c>
      <c r="F182" t="s">
        <v>742</v>
      </c>
      <c r="G182" t="s">
        <v>699</v>
      </c>
      <c r="H182" t="s">
        <v>743</v>
      </c>
      <c r="I182" t="s">
        <v>625</v>
      </c>
    </row>
    <row r="183" spans="1:9">
      <c r="A183">
        <v>182</v>
      </c>
      <c r="B183" t="s">
        <v>538</v>
      </c>
      <c r="C183" t="s">
        <v>539</v>
      </c>
      <c r="D183" t="s">
        <v>286</v>
      </c>
      <c r="E183">
        <v>10</v>
      </c>
      <c r="F183" t="s">
        <v>286</v>
      </c>
      <c r="G183" t="s">
        <v>695</v>
      </c>
      <c r="H183" t="s">
        <v>744</v>
      </c>
      <c r="I183" t="s">
        <v>626</v>
      </c>
    </row>
    <row r="184" spans="1:9">
      <c r="A184">
        <v>183</v>
      </c>
      <c r="B184" t="s">
        <v>538</v>
      </c>
      <c r="C184" t="s">
        <v>539</v>
      </c>
      <c r="D184" t="s">
        <v>288</v>
      </c>
      <c r="E184">
        <v>10</v>
      </c>
      <c r="F184" t="s">
        <v>745</v>
      </c>
      <c r="G184" t="s">
        <v>695</v>
      </c>
      <c r="H184" t="s">
        <v>746</v>
      </c>
      <c r="I184" t="s">
        <v>627</v>
      </c>
    </row>
    <row r="185" spans="1:9">
      <c r="A185">
        <v>184</v>
      </c>
      <c r="B185" t="s">
        <v>538</v>
      </c>
      <c r="C185" t="s">
        <v>539</v>
      </c>
      <c r="D185" t="s">
        <v>289</v>
      </c>
      <c r="E185">
        <v>7</v>
      </c>
      <c r="F185" t="s">
        <v>55</v>
      </c>
      <c r="G185" t="s">
        <v>695</v>
      </c>
      <c r="H185" t="s">
        <v>747</v>
      </c>
      <c r="I185" t="s">
        <v>628</v>
      </c>
    </row>
    <row r="186" spans="1:9">
      <c r="A186">
        <v>185</v>
      </c>
      <c r="B186" t="s">
        <v>538</v>
      </c>
      <c r="C186" t="s">
        <v>539</v>
      </c>
      <c r="D186" t="s">
        <v>290</v>
      </c>
      <c r="E186">
        <v>8</v>
      </c>
      <c r="F186" t="s">
        <v>748</v>
      </c>
      <c r="G186" t="s">
        <v>695</v>
      </c>
      <c r="H186" t="s">
        <v>749</v>
      </c>
      <c r="I186" t="s">
        <v>629</v>
      </c>
    </row>
    <row r="187" spans="1:9">
      <c r="A187">
        <v>186</v>
      </c>
      <c r="B187" t="s">
        <v>538</v>
      </c>
      <c r="C187" t="s">
        <v>539</v>
      </c>
      <c r="D187" t="s">
        <v>291</v>
      </c>
      <c r="E187">
        <v>5</v>
      </c>
      <c r="F187" t="s">
        <v>750</v>
      </c>
      <c r="G187" t="s">
        <v>695</v>
      </c>
      <c r="H187" t="s">
        <v>751</v>
      </c>
      <c r="I187" t="s">
        <v>630</v>
      </c>
    </row>
    <row r="188" spans="1:9">
      <c r="A188">
        <v>187</v>
      </c>
      <c r="B188" t="s">
        <v>538</v>
      </c>
      <c r="C188" t="s">
        <v>539</v>
      </c>
      <c r="D188" t="s">
        <v>292</v>
      </c>
      <c r="E188">
        <v>7</v>
      </c>
      <c r="F188" t="s">
        <v>752</v>
      </c>
      <c r="G188" t="s">
        <v>495</v>
      </c>
      <c r="H188" t="s">
        <v>753</v>
      </c>
      <c r="I188" t="s">
        <v>631</v>
      </c>
    </row>
    <row r="189" spans="1:9">
      <c r="A189">
        <v>188</v>
      </c>
      <c r="B189" t="s">
        <v>538</v>
      </c>
      <c r="C189" t="s">
        <v>540</v>
      </c>
      <c r="D189" t="s">
        <v>283</v>
      </c>
      <c r="E189">
        <v>35</v>
      </c>
      <c r="F189" t="s">
        <v>754</v>
      </c>
      <c r="G189" t="s">
        <v>695</v>
      </c>
      <c r="H189" t="s">
        <v>741</v>
      </c>
      <c r="I189" t="s">
        <v>632</v>
      </c>
    </row>
    <row r="190" spans="1:9">
      <c r="A190">
        <v>189</v>
      </c>
      <c r="B190" t="s">
        <v>538</v>
      </c>
      <c r="C190" t="s">
        <v>540</v>
      </c>
      <c r="D190" t="s">
        <v>293</v>
      </c>
      <c r="E190">
        <v>15</v>
      </c>
      <c r="F190" t="s">
        <v>755</v>
      </c>
      <c r="G190" t="s">
        <v>695</v>
      </c>
      <c r="H190" t="s">
        <v>747</v>
      </c>
      <c r="I190" t="s">
        <v>633</v>
      </c>
    </row>
    <row r="191" spans="1:9">
      <c r="A191">
        <v>190</v>
      </c>
      <c r="B191" t="s">
        <v>538</v>
      </c>
      <c r="C191" t="s">
        <v>540</v>
      </c>
      <c r="D191" t="s">
        <v>294</v>
      </c>
      <c r="E191">
        <v>15</v>
      </c>
      <c r="F191" t="s">
        <v>742</v>
      </c>
      <c r="G191" t="s">
        <v>699</v>
      </c>
      <c r="H191" t="s">
        <v>743</v>
      </c>
      <c r="I191" t="s">
        <v>625</v>
      </c>
    </row>
    <row r="192" spans="1:9">
      <c r="A192">
        <v>191</v>
      </c>
      <c r="B192" t="s">
        <v>538</v>
      </c>
      <c r="C192" t="s">
        <v>540</v>
      </c>
      <c r="D192" t="s">
        <v>295</v>
      </c>
      <c r="E192">
        <v>12</v>
      </c>
      <c r="F192" t="s">
        <v>748</v>
      </c>
      <c r="G192" t="s">
        <v>695</v>
      </c>
      <c r="H192" t="s">
        <v>749</v>
      </c>
      <c r="I192" t="s">
        <v>629</v>
      </c>
    </row>
    <row r="193" spans="1:9">
      <c r="A193">
        <v>192</v>
      </c>
      <c r="B193" t="s">
        <v>538</v>
      </c>
      <c r="C193" t="s">
        <v>540</v>
      </c>
      <c r="D193" t="s">
        <v>296</v>
      </c>
      <c r="E193">
        <v>8</v>
      </c>
      <c r="F193" t="s">
        <v>55</v>
      </c>
      <c r="G193" t="s">
        <v>695</v>
      </c>
      <c r="H193" t="s">
        <v>747</v>
      </c>
      <c r="I193" t="s">
        <v>628</v>
      </c>
    </row>
    <row r="194" spans="1:9">
      <c r="A194">
        <v>193</v>
      </c>
      <c r="B194" t="s">
        <v>538</v>
      </c>
      <c r="C194" t="s">
        <v>540</v>
      </c>
      <c r="D194" t="s">
        <v>297</v>
      </c>
      <c r="E194">
        <v>8</v>
      </c>
      <c r="F194" t="s">
        <v>745</v>
      </c>
      <c r="G194" t="s">
        <v>695</v>
      </c>
      <c r="H194" t="s">
        <v>746</v>
      </c>
      <c r="I194" t="s">
        <v>627</v>
      </c>
    </row>
    <row r="195" spans="1:9">
      <c r="A195">
        <v>194</v>
      </c>
      <c r="B195" t="s">
        <v>538</v>
      </c>
      <c r="C195" t="s">
        <v>540</v>
      </c>
      <c r="D195" t="s">
        <v>298</v>
      </c>
      <c r="E195">
        <v>7</v>
      </c>
      <c r="F195" t="s">
        <v>752</v>
      </c>
      <c r="G195" t="s">
        <v>495</v>
      </c>
      <c r="H195" t="s">
        <v>753</v>
      </c>
      <c r="I195" t="s">
        <v>631</v>
      </c>
    </row>
    <row r="196" spans="1:9">
      <c r="A196">
        <v>195</v>
      </c>
      <c r="B196" t="s">
        <v>538</v>
      </c>
      <c r="C196" t="s">
        <v>541</v>
      </c>
      <c r="D196" t="s">
        <v>299</v>
      </c>
      <c r="E196">
        <v>45</v>
      </c>
      <c r="F196" t="s">
        <v>748</v>
      </c>
      <c r="G196" t="s">
        <v>695</v>
      </c>
      <c r="H196" t="s">
        <v>749</v>
      </c>
      <c r="I196" t="s">
        <v>629</v>
      </c>
    </row>
    <row r="197" spans="1:9">
      <c r="A197">
        <v>196</v>
      </c>
      <c r="B197" t="s">
        <v>538</v>
      </c>
      <c r="C197" t="s">
        <v>541</v>
      </c>
      <c r="D197" t="s">
        <v>167</v>
      </c>
      <c r="E197">
        <v>15</v>
      </c>
      <c r="F197" t="s">
        <v>748</v>
      </c>
      <c r="G197" t="s">
        <v>695</v>
      </c>
      <c r="H197" t="s">
        <v>749</v>
      </c>
      <c r="I197" t="s">
        <v>629</v>
      </c>
    </row>
    <row r="198" spans="1:9">
      <c r="A198">
        <v>197</v>
      </c>
      <c r="B198" t="s">
        <v>538</v>
      </c>
      <c r="C198" t="s">
        <v>541</v>
      </c>
      <c r="D198" t="s">
        <v>300</v>
      </c>
      <c r="E198">
        <v>15</v>
      </c>
      <c r="F198" t="s">
        <v>742</v>
      </c>
      <c r="G198" t="s">
        <v>699</v>
      </c>
      <c r="H198" t="s">
        <v>743</v>
      </c>
      <c r="I198" t="s">
        <v>625</v>
      </c>
    </row>
    <row r="199" spans="1:9">
      <c r="A199">
        <v>198</v>
      </c>
      <c r="B199" t="s">
        <v>538</v>
      </c>
      <c r="C199" t="s">
        <v>541</v>
      </c>
      <c r="D199" t="s">
        <v>301</v>
      </c>
      <c r="E199">
        <v>5</v>
      </c>
      <c r="F199" t="s">
        <v>754</v>
      </c>
      <c r="G199" t="s">
        <v>695</v>
      </c>
      <c r="H199" t="s">
        <v>741</v>
      </c>
      <c r="I199" t="s">
        <v>632</v>
      </c>
    </row>
    <row r="200" spans="1:9">
      <c r="A200">
        <v>199</v>
      </c>
      <c r="B200" t="s">
        <v>538</v>
      </c>
      <c r="C200" t="s">
        <v>541</v>
      </c>
      <c r="D200" t="s">
        <v>302</v>
      </c>
      <c r="E200">
        <v>10</v>
      </c>
      <c r="F200" t="s">
        <v>748</v>
      </c>
      <c r="G200" t="s">
        <v>695</v>
      </c>
      <c r="H200" t="s">
        <v>749</v>
      </c>
      <c r="I200" t="s">
        <v>629</v>
      </c>
    </row>
    <row r="201" spans="1:9">
      <c r="A201">
        <v>200</v>
      </c>
      <c r="B201" t="s">
        <v>538</v>
      </c>
      <c r="C201" t="s">
        <v>541</v>
      </c>
      <c r="D201" t="s">
        <v>240</v>
      </c>
      <c r="E201">
        <v>7</v>
      </c>
      <c r="F201" t="s">
        <v>752</v>
      </c>
      <c r="G201" t="s">
        <v>495</v>
      </c>
      <c r="H201" t="s">
        <v>753</v>
      </c>
      <c r="I201" t="s">
        <v>631</v>
      </c>
    </row>
    <row r="202" spans="1:9">
      <c r="A202">
        <v>201</v>
      </c>
      <c r="B202" t="s">
        <v>538</v>
      </c>
      <c r="C202" t="s">
        <v>541</v>
      </c>
      <c r="D202" t="s">
        <v>168</v>
      </c>
      <c r="E202">
        <v>3</v>
      </c>
      <c r="F202" t="s">
        <v>752</v>
      </c>
      <c r="G202" t="s">
        <v>495</v>
      </c>
      <c r="H202" t="s">
        <v>753</v>
      </c>
      <c r="I202" t="s">
        <v>631</v>
      </c>
    </row>
    <row r="203" spans="1:9">
      <c r="A203">
        <v>202</v>
      </c>
      <c r="B203" t="s">
        <v>538</v>
      </c>
      <c r="C203" t="s">
        <v>55</v>
      </c>
      <c r="D203" t="s">
        <v>303</v>
      </c>
      <c r="E203">
        <v>30</v>
      </c>
      <c r="F203" t="s">
        <v>55</v>
      </c>
      <c r="G203" t="s">
        <v>695</v>
      </c>
      <c r="H203" t="s">
        <v>747</v>
      </c>
      <c r="I203" t="s">
        <v>628</v>
      </c>
    </row>
    <row r="204" spans="1:9">
      <c r="A204">
        <v>203</v>
      </c>
      <c r="B204" t="s">
        <v>538</v>
      </c>
      <c r="C204" t="s">
        <v>55</v>
      </c>
      <c r="D204" t="s">
        <v>304</v>
      </c>
      <c r="E204">
        <v>35</v>
      </c>
      <c r="F204" t="s">
        <v>55</v>
      </c>
      <c r="G204" t="s">
        <v>695</v>
      </c>
      <c r="H204" t="s">
        <v>747</v>
      </c>
      <c r="I204" t="s">
        <v>628</v>
      </c>
    </row>
    <row r="205" spans="1:9">
      <c r="A205">
        <v>204</v>
      </c>
      <c r="B205" t="s">
        <v>538</v>
      </c>
      <c r="C205" t="s">
        <v>55</v>
      </c>
      <c r="D205" t="s">
        <v>305</v>
      </c>
      <c r="E205">
        <v>10</v>
      </c>
      <c r="F205" t="s">
        <v>55</v>
      </c>
      <c r="G205" t="s">
        <v>695</v>
      </c>
      <c r="H205" t="s">
        <v>747</v>
      </c>
      <c r="I205" t="s">
        <v>628</v>
      </c>
    </row>
    <row r="206" spans="1:9">
      <c r="A206">
        <v>205</v>
      </c>
      <c r="B206" t="s">
        <v>538</v>
      </c>
      <c r="C206" t="s">
        <v>55</v>
      </c>
      <c r="D206" t="s">
        <v>199</v>
      </c>
      <c r="E206">
        <v>8</v>
      </c>
      <c r="F206" t="s">
        <v>742</v>
      </c>
      <c r="G206" t="s">
        <v>699</v>
      </c>
      <c r="H206" t="s">
        <v>743</v>
      </c>
      <c r="I206" t="s">
        <v>625</v>
      </c>
    </row>
    <row r="207" spans="1:9">
      <c r="A207">
        <v>206</v>
      </c>
      <c r="B207" t="s">
        <v>538</v>
      </c>
      <c r="C207" t="s">
        <v>55</v>
      </c>
      <c r="D207" t="s">
        <v>306</v>
      </c>
      <c r="E207">
        <v>7</v>
      </c>
      <c r="F207" t="s">
        <v>754</v>
      </c>
      <c r="G207" t="s">
        <v>695</v>
      </c>
      <c r="H207" t="s">
        <v>741</v>
      </c>
      <c r="I207" t="s">
        <v>632</v>
      </c>
    </row>
    <row r="208" spans="1:9">
      <c r="A208">
        <v>207</v>
      </c>
      <c r="B208" t="s">
        <v>538</v>
      </c>
      <c r="C208" t="s">
        <v>55</v>
      </c>
      <c r="D208" t="s">
        <v>307</v>
      </c>
      <c r="E208">
        <v>5</v>
      </c>
      <c r="F208" t="s">
        <v>745</v>
      </c>
      <c r="G208" t="s">
        <v>695</v>
      </c>
      <c r="H208" t="s">
        <v>746</v>
      </c>
      <c r="I208" t="s">
        <v>627</v>
      </c>
    </row>
    <row r="209" spans="1:9">
      <c r="A209">
        <v>208</v>
      </c>
      <c r="B209" t="s">
        <v>538</v>
      </c>
      <c r="C209" t="s">
        <v>55</v>
      </c>
      <c r="D209" t="s">
        <v>308</v>
      </c>
      <c r="E209">
        <v>5</v>
      </c>
      <c r="F209" t="s">
        <v>752</v>
      </c>
      <c r="G209" t="s">
        <v>495</v>
      </c>
      <c r="H209" t="s">
        <v>753</v>
      </c>
      <c r="I209" t="s">
        <v>631</v>
      </c>
    </row>
    <row r="210" spans="1:9">
      <c r="A210">
        <v>209</v>
      </c>
      <c r="B210" t="s">
        <v>538</v>
      </c>
      <c r="C210" t="s">
        <v>542</v>
      </c>
      <c r="D210" t="s">
        <v>309</v>
      </c>
      <c r="E210">
        <v>55</v>
      </c>
      <c r="F210" t="s">
        <v>750</v>
      </c>
      <c r="G210" t="s">
        <v>695</v>
      </c>
      <c r="H210" t="s">
        <v>751</v>
      </c>
      <c r="I210" t="s">
        <v>630</v>
      </c>
    </row>
    <row r="211" spans="1:9">
      <c r="A211">
        <v>210</v>
      </c>
      <c r="B211" t="s">
        <v>538</v>
      </c>
      <c r="C211" t="s">
        <v>542</v>
      </c>
      <c r="D211" t="s">
        <v>310</v>
      </c>
      <c r="E211">
        <v>20</v>
      </c>
      <c r="F211" t="s">
        <v>750</v>
      </c>
      <c r="G211" t="s">
        <v>695</v>
      </c>
      <c r="H211" t="s">
        <v>751</v>
      </c>
      <c r="I211" t="s">
        <v>630</v>
      </c>
    </row>
    <row r="212" spans="1:9">
      <c r="A212">
        <v>211</v>
      </c>
      <c r="B212" t="s">
        <v>538</v>
      </c>
      <c r="C212" t="s">
        <v>542</v>
      </c>
      <c r="D212" t="s">
        <v>311</v>
      </c>
      <c r="E212">
        <v>15</v>
      </c>
      <c r="F212" t="s">
        <v>752</v>
      </c>
      <c r="G212" t="s">
        <v>495</v>
      </c>
      <c r="H212" t="s">
        <v>753</v>
      </c>
      <c r="I212" t="s">
        <v>631</v>
      </c>
    </row>
    <row r="213" spans="1:9">
      <c r="A213">
        <v>212</v>
      </c>
      <c r="B213" t="s">
        <v>538</v>
      </c>
      <c r="C213" t="s">
        <v>542</v>
      </c>
      <c r="D213" t="s">
        <v>312</v>
      </c>
      <c r="E213">
        <v>3</v>
      </c>
      <c r="F213" t="s">
        <v>750</v>
      </c>
      <c r="G213" t="s">
        <v>695</v>
      </c>
      <c r="H213" t="s">
        <v>751</v>
      </c>
      <c r="I213" t="s">
        <v>630</v>
      </c>
    </row>
    <row r="214" spans="1:9">
      <c r="A214">
        <v>213</v>
      </c>
      <c r="B214" t="s">
        <v>538</v>
      </c>
      <c r="C214" t="s">
        <v>542</v>
      </c>
      <c r="D214" t="s">
        <v>313</v>
      </c>
      <c r="E214">
        <v>4</v>
      </c>
      <c r="F214" t="s">
        <v>750</v>
      </c>
      <c r="G214" t="s">
        <v>695</v>
      </c>
      <c r="H214" t="s">
        <v>751</v>
      </c>
      <c r="I214" t="s">
        <v>630</v>
      </c>
    </row>
    <row r="215" spans="1:9">
      <c r="A215">
        <v>214</v>
      </c>
      <c r="B215" t="s">
        <v>538</v>
      </c>
      <c r="C215" t="s">
        <v>542</v>
      </c>
      <c r="D215" t="s">
        <v>308</v>
      </c>
      <c r="E215">
        <v>3</v>
      </c>
      <c r="F215" t="s">
        <v>752</v>
      </c>
      <c r="G215" t="s">
        <v>495</v>
      </c>
      <c r="H215" t="s">
        <v>753</v>
      </c>
      <c r="I215" t="s">
        <v>631</v>
      </c>
    </row>
    <row r="216" spans="1:9">
      <c r="A216">
        <v>215</v>
      </c>
      <c r="B216" t="s">
        <v>538</v>
      </c>
      <c r="C216" t="s">
        <v>543</v>
      </c>
      <c r="D216" t="s">
        <v>314</v>
      </c>
      <c r="E216">
        <v>25</v>
      </c>
      <c r="F216" t="s">
        <v>286</v>
      </c>
      <c r="G216" t="s">
        <v>695</v>
      </c>
      <c r="H216" t="s">
        <v>744</v>
      </c>
      <c r="I216" t="s">
        <v>626</v>
      </c>
    </row>
    <row r="217" spans="1:9">
      <c r="A217">
        <v>216</v>
      </c>
      <c r="B217" t="s">
        <v>538</v>
      </c>
      <c r="C217" t="s">
        <v>543</v>
      </c>
      <c r="D217" t="s">
        <v>315</v>
      </c>
      <c r="E217">
        <v>25</v>
      </c>
      <c r="F217" t="s">
        <v>745</v>
      </c>
      <c r="G217" t="s">
        <v>695</v>
      </c>
      <c r="H217" t="s">
        <v>746</v>
      </c>
      <c r="I217" t="s">
        <v>627</v>
      </c>
    </row>
    <row r="218" spans="1:9">
      <c r="A218">
        <v>217</v>
      </c>
      <c r="B218" t="s">
        <v>538</v>
      </c>
      <c r="C218" t="s">
        <v>543</v>
      </c>
      <c r="D218" t="s">
        <v>316</v>
      </c>
      <c r="E218">
        <v>15</v>
      </c>
      <c r="F218" t="s">
        <v>752</v>
      </c>
      <c r="G218" t="s">
        <v>495</v>
      </c>
      <c r="H218" t="s">
        <v>753</v>
      </c>
      <c r="I218" t="s">
        <v>631</v>
      </c>
    </row>
    <row r="219" spans="1:9">
      <c r="A219">
        <v>218</v>
      </c>
      <c r="B219" t="s">
        <v>538</v>
      </c>
      <c r="C219" t="s">
        <v>543</v>
      </c>
      <c r="D219" t="s">
        <v>317</v>
      </c>
      <c r="E219">
        <v>10</v>
      </c>
      <c r="F219" t="s">
        <v>742</v>
      </c>
      <c r="G219" t="s">
        <v>699</v>
      </c>
      <c r="H219" t="s">
        <v>743</v>
      </c>
      <c r="I219" t="s">
        <v>625</v>
      </c>
    </row>
    <row r="220" spans="1:9">
      <c r="A220">
        <v>219</v>
      </c>
      <c r="B220" t="s">
        <v>538</v>
      </c>
      <c r="C220" t="s">
        <v>543</v>
      </c>
      <c r="D220" t="s">
        <v>318</v>
      </c>
      <c r="E220">
        <v>8</v>
      </c>
      <c r="F220" t="s">
        <v>756</v>
      </c>
      <c r="G220" t="s">
        <v>699</v>
      </c>
      <c r="H220" t="s">
        <v>757</v>
      </c>
      <c r="I220" t="s">
        <v>634</v>
      </c>
    </row>
    <row r="221" spans="1:9">
      <c r="A221">
        <v>220</v>
      </c>
      <c r="B221" t="s">
        <v>538</v>
      </c>
      <c r="C221" t="s">
        <v>543</v>
      </c>
      <c r="D221" t="s">
        <v>319</v>
      </c>
      <c r="E221">
        <v>7</v>
      </c>
      <c r="F221" t="s">
        <v>758</v>
      </c>
      <c r="G221" t="s">
        <v>495</v>
      </c>
      <c r="H221" t="s">
        <v>759</v>
      </c>
      <c r="I221" t="s">
        <v>635</v>
      </c>
    </row>
    <row r="222" spans="1:9">
      <c r="A222">
        <v>221</v>
      </c>
      <c r="B222" t="s">
        <v>538</v>
      </c>
      <c r="C222" t="s">
        <v>543</v>
      </c>
      <c r="D222" t="s">
        <v>320</v>
      </c>
      <c r="E222">
        <v>10</v>
      </c>
      <c r="F222" t="s">
        <v>752</v>
      </c>
      <c r="G222" t="s">
        <v>495</v>
      </c>
      <c r="H222" t="s">
        <v>753</v>
      </c>
      <c r="I222" t="s">
        <v>631</v>
      </c>
    </row>
    <row r="223" spans="1:9">
      <c r="A223">
        <v>222</v>
      </c>
      <c r="B223" t="s">
        <v>538</v>
      </c>
      <c r="C223" t="s">
        <v>544</v>
      </c>
      <c r="D223" t="s">
        <v>321</v>
      </c>
      <c r="E223">
        <v>55</v>
      </c>
      <c r="F223" t="s">
        <v>286</v>
      </c>
      <c r="G223" t="s">
        <v>695</v>
      </c>
      <c r="H223" t="s">
        <v>744</v>
      </c>
      <c r="I223" t="s">
        <v>626</v>
      </c>
    </row>
    <row r="224" spans="1:9">
      <c r="A224">
        <v>223</v>
      </c>
      <c r="B224" t="s">
        <v>538</v>
      </c>
      <c r="C224" t="s">
        <v>544</v>
      </c>
      <c r="D224" t="s">
        <v>322</v>
      </c>
      <c r="E224">
        <v>15</v>
      </c>
      <c r="F224" t="s">
        <v>286</v>
      </c>
      <c r="G224" t="s">
        <v>695</v>
      </c>
      <c r="H224" t="s">
        <v>744</v>
      </c>
      <c r="I224" t="s">
        <v>626</v>
      </c>
    </row>
    <row r="225" spans="1:9">
      <c r="A225">
        <v>224</v>
      </c>
      <c r="B225" t="s">
        <v>538</v>
      </c>
      <c r="C225" t="s">
        <v>544</v>
      </c>
      <c r="D225" t="s">
        <v>324</v>
      </c>
      <c r="E225">
        <v>10</v>
      </c>
      <c r="F225" t="s">
        <v>286</v>
      </c>
      <c r="G225" t="s">
        <v>695</v>
      </c>
      <c r="H225" t="s">
        <v>744</v>
      </c>
      <c r="I225" t="s">
        <v>626</v>
      </c>
    </row>
    <row r="226" spans="1:9">
      <c r="A226">
        <v>225</v>
      </c>
      <c r="B226" t="s">
        <v>538</v>
      </c>
      <c r="C226" t="s">
        <v>544</v>
      </c>
      <c r="D226" t="s">
        <v>325</v>
      </c>
      <c r="E226">
        <v>8</v>
      </c>
      <c r="F226" t="s">
        <v>750</v>
      </c>
      <c r="G226" t="s">
        <v>695</v>
      </c>
      <c r="H226" t="s">
        <v>751</v>
      </c>
      <c r="I226" t="s">
        <v>630</v>
      </c>
    </row>
    <row r="227" spans="1:9">
      <c r="A227">
        <v>226</v>
      </c>
      <c r="B227" t="s">
        <v>538</v>
      </c>
      <c r="C227" t="s">
        <v>544</v>
      </c>
      <c r="D227" t="s">
        <v>326</v>
      </c>
      <c r="E227">
        <v>4</v>
      </c>
      <c r="F227" t="s">
        <v>742</v>
      </c>
      <c r="G227" t="s">
        <v>699</v>
      </c>
      <c r="H227" t="s">
        <v>743</v>
      </c>
      <c r="I227" t="s">
        <v>625</v>
      </c>
    </row>
    <row r="228" spans="1:9">
      <c r="A228">
        <v>227</v>
      </c>
      <c r="B228" t="s">
        <v>538</v>
      </c>
      <c r="C228" t="s">
        <v>544</v>
      </c>
      <c r="D228" t="s">
        <v>327</v>
      </c>
      <c r="E228">
        <v>5</v>
      </c>
      <c r="F228" t="s">
        <v>752</v>
      </c>
      <c r="G228" t="s">
        <v>495</v>
      </c>
      <c r="H228" t="s">
        <v>753</v>
      </c>
      <c r="I228" t="s">
        <v>631</v>
      </c>
    </row>
    <row r="229" spans="1:9">
      <c r="A229">
        <v>228</v>
      </c>
      <c r="B229" t="s">
        <v>538</v>
      </c>
      <c r="C229" t="s">
        <v>544</v>
      </c>
      <c r="D229" t="s">
        <v>328</v>
      </c>
      <c r="E229">
        <v>3</v>
      </c>
      <c r="F229" t="s">
        <v>752</v>
      </c>
      <c r="G229" t="s">
        <v>495</v>
      </c>
      <c r="H229" t="s">
        <v>753</v>
      </c>
      <c r="I229" t="s">
        <v>631</v>
      </c>
    </row>
    <row r="230" spans="1:9">
      <c r="A230">
        <v>229</v>
      </c>
      <c r="B230" t="s">
        <v>545</v>
      </c>
      <c r="C230" t="s">
        <v>546</v>
      </c>
      <c r="D230" t="s">
        <v>329</v>
      </c>
      <c r="E230">
        <v>40</v>
      </c>
      <c r="F230" t="s">
        <v>756</v>
      </c>
      <c r="G230" t="s">
        <v>699</v>
      </c>
      <c r="H230" t="s">
        <v>760</v>
      </c>
      <c r="I230" t="s">
        <v>636</v>
      </c>
    </row>
    <row r="231" spans="1:9">
      <c r="A231">
        <v>230</v>
      </c>
      <c r="B231" t="s">
        <v>545</v>
      </c>
      <c r="C231" t="s">
        <v>546</v>
      </c>
      <c r="D231" t="s">
        <v>330</v>
      </c>
      <c r="E231">
        <v>25</v>
      </c>
      <c r="F231" t="s">
        <v>761</v>
      </c>
      <c r="G231" t="s">
        <v>695</v>
      </c>
      <c r="H231" t="s">
        <v>762</v>
      </c>
      <c r="I231" t="s">
        <v>637</v>
      </c>
    </row>
    <row r="232" spans="1:9">
      <c r="A232">
        <v>231</v>
      </c>
      <c r="B232" t="s">
        <v>545</v>
      </c>
      <c r="C232" t="s">
        <v>546</v>
      </c>
      <c r="D232" t="s">
        <v>331</v>
      </c>
      <c r="E232">
        <v>10</v>
      </c>
      <c r="F232" t="s">
        <v>763</v>
      </c>
      <c r="G232" t="s">
        <v>699</v>
      </c>
      <c r="H232" t="s">
        <v>764</v>
      </c>
      <c r="I232" t="s">
        <v>638</v>
      </c>
    </row>
    <row r="233" spans="1:9">
      <c r="A233">
        <v>232</v>
      </c>
      <c r="B233" t="s">
        <v>545</v>
      </c>
      <c r="C233" t="s">
        <v>546</v>
      </c>
      <c r="D233" t="s">
        <v>332</v>
      </c>
      <c r="E233">
        <v>15</v>
      </c>
      <c r="F233" t="s">
        <v>756</v>
      </c>
      <c r="G233" t="s">
        <v>699</v>
      </c>
      <c r="H233" t="s">
        <v>760</v>
      </c>
      <c r="I233" t="s">
        <v>636</v>
      </c>
    </row>
    <row r="234" spans="1:9">
      <c r="A234">
        <v>233</v>
      </c>
      <c r="B234" t="s">
        <v>545</v>
      </c>
      <c r="C234" t="s">
        <v>546</v>
      </c>
      <c r="D234" t="s">
        <v>333</v>
      </c>
      <c r="E234">
        <v>5</v>
      </c>
      <c r="F234" t="s">
        <v>761</v>
      </c>
      <c r="G234" t="s">
        <v>695</v>
      </c>
      <c r="H234" t="s">
        <v>762</v>
      </c>
      <c r="I234" t="s">
        <v>637</v>
      </c>
    </row>
    <row r="235" spans="1:9">
      <c r="A235">
        <v>234</v>
      </c>
      <c r="B235" t="s">
        <v>545</v>
      </c>
      <c r="C235" t="s">
        <v>546</v>
      </c>
      <c r="D235" t="s">
        <v>334</v>
      </c>
      <c r="E235">
        <v>5</v>
      </c>
      <c r="F235" t="s">
        <v>761</v>
      </c>
      <c r="G235" t="s">
        <v>695</v>
      </c>
      <c r="H235" t="s">
        <v>762</v>
      </c>
      <c r="I235" t="s">
        <v>637</v>
      </c>
    </row>
    <row r="236" spans="1:9">
      <c r="A236">
        <v>235</v>
      </c>
      <c r="B236" t="s">
        <v>545</v>
      </c>
      <c r="C236" t="s">
        <v>547</v>
      </c>
      <c r="D236" t="s">
        <v>335</v>
      </c>
      <c r="E236">
        <v>65</v>
      </c>
      <c r="F236" t="s">
        <v>765</v>
      </c>
      <c r="G236" t="s">
        <v>695</v>
      </c>
      <c r="H236" t="s">
        <v>766</v>
      </c>
      <c r="I236" t="s">
        <v>639</v>
      </c>
    </row>
    <row r="237" spans="1:9">
      <c r="A237">
        <v>236</v>
      </c>
      <c r="B237" t="s">
        <v>545</v>
      </c>
      <c r="C237" t="s">
        <v>547</v>
      </c>
      <c r="D237" t="s">
        <v>336</v>
      </c>
      <c r="E237">
        <v>20</v>
      </c>
      <c r="F237" t="s">
        <v>765</v>
      </c>
      <c r="G237" t="s">
        <v>695</v>
      </c>
      <c r="H237" t="s">
        <v>766</v>
      </c>
      <c r="I237" t="s">
        <v>639</v>
      </c>
    </row>
    <row r="238" spans="1:9">
      <c r="A238">
        <v>237</v>
      </c>
      <c r="B238" t="s">
        <v>545</v>
      </c>
      <c r="C238" t="s">
        <v>547</v>
      </c>
      <c r="D238" t="s">
        <v>337</v>
      </c>
      <c r="E238">
        <v>5</v>
      </c>
      <c r="F238" t="s">
        <v>765</v>
      </c>
      <c r="G238" t="s">
        <v>695</v>
      </c>
      <c r="H238" t="s">
        <v>766</v>
      </c>
      <c r="I238" t="s">
        <v>639</v>
      </c>
    </row>
    <row r="239" spans="1:9">
      <c r="A239">
        <v>238</v>
      </c>
      <c r="B239" t="s">
        <v>545</v>
      </c>
      <c r="C239" t="s">
        <v>547</v>
      </c>
      <c r="D239" t="s">
        <v>199</v>
      </c>
      <c r="E239">
        <v>3</v>
      </c>
      <c r="F239" t="s">
        <v>765</v>
      </c>
      <c r="G239" t="s">
        <v>695</v>
      </c>
      <c r="H239" t="s">
        <v>766</v>
      </c>
      <c r="I239" t="s">
        <v>639</v>
      </c>
    </row>
    <row r="240" spans="1:9">
      <c r="A240">
        <v>239</v>
      </c>
      <c r="B240" t="s">
        <v>545</v>
      </c>
      <c r="C240" t="s">
        <v>547</v>
      </c>
      <c r="D240" t="s">
        <v>338</v>
      </c>
      <c r="E240">
        <v>5</v>
      </c>
      <c r="F240" t="s">
        <v>765</v>
      </c>
      <c r="G240" t="s">
        <v>695</v>
      </c>
      <c r="H240" t="s">
        <v>766</v>
      </c>
      <c r="I240" t="s">
        <v>639</v>
      </c>
    </row>
    <row r="241" spans="1:9">
      <c r="A241">
        <v>240</v>
      </c>
      <c r="B241" t="s">
        <v>545</v>
      </c>
      <c r="C241" t="s">
        <v>547</v>
      </c>
      <c r="D241" t="s">
        <v>282</v>
      </c>
      <c r="E241">
        <v>2</v>
      </c>
      <c r="F241" t="s">
        <v>765</v>
      </c>
      <c r="G241" t="s">
        <v>695</v>
      </c>
      <c r="H241" t="s">
        <v>766</v>
      </c>
      <c r="I241" t="s">
        <v>639</v>
      </c>
    </row>
    <row r="242" spans="1:9">
      <c r="A242">
        <v>241</v>
      </c>
      <c r="B242" t="s">
        <v>545</v>
      </c>
      <c r="C242" t="s">
        <v>548</v>
      </c>
      <c r="D242" t="s">
        <v>339</v>
      </c>
      <c r="E242">
        <v>45</v>
      </c>
      <c r="F242" t="s">
        <v>767</v>
      </c>
      <c r="G242" t="s">
        <v>695</v>
      </c>
      <c r="H242" t="s">
        <v>768</v>
      </c>
      <c r="I242" t="s">
        <v>640</v>
      </c>
    </row>
    <row r="243" spans="1:9">
      <c r="A243">
        <v>242</v>
      </c>
      <c r="B243" t="s">
        <v>545</v>
      </c>
      <c r="C243" t="s">
        <v>548</v>
      </c>
      <c r="D243" t="s">
        <v>340</v>
      </c>
      <c r="E243">
        <v>15</v>
      </c>
      <c r="F243" t="s">
        <v>767</v>
      </c>
      <c r="G243" t="s">
        <v>695</v>
      </c>
      <c r="H243" t="s">
        <v>768</v>
      </c>
      <c r="I243" t="s">
        <v>640</v>
      </c>
    </row>
    <row r="244" spans="1:9">
      <c r="A244">
        <v>243</v>
      </c>
      <c r="B244" t="s">
        <v>545</v>
      </c>
      <c r="C244" t="s">
        <v>548</v>
      </c>
      <c r="D244" t="s">
        <v>341</v>
      </c>
      <c r="E244">
        <v>15</v>
      </c>
      <c r="F244" t="s">
        <v>767</v>
      </c>
      <c r="G244" t="s">
        <v>695</v>
      </c>
      <c r="H244" t="s">
        <v>768</v>
      </c>
      <c r="I244" t="s">
        <v>640</v>
      </c>
    </row>
    <row r="245" spans="1:9">
      <c r="A245">
        <v>244</v>
      </c>
      <c r="B245" t="s">
        <v>545</v>
      </c>
      <c r="C245" t="s">
        <v>548</v>
      </c>
      <c r="D245" t="s">
        <v>337</v>
      </c>
      <c r="E245">
        <v>8</v>
      </c>
      <c r="F245" t="s">
        <v>767</v>
      </c>
      <c r="G245" t="s">
        <v>695</v>
      </c>
      <c r="H245" t="s">
        <v>768</v>
      </c>
      <c r="I245" t="s">
        <v>640</v>
      </c>
    </row>
    <row r="246" spans="1:9">
      <c r="A246">
        <v>245</v>
      </c>
      <c r="B246" t="s">
        <v>545</v>
      </c>
      <c r="C246" t="s">
        <v>548</v>
      </c>
      <c r="D246" t="s">
        <v>342</v>
      </c>
      <c r="E246">
        <v>10</v>
      </c>
      <c r="F246" t="s">
        <v>767</v>
      </c>
      <c r="G246" t="s">
        <v>695</v>
      </c>
      <c r="H246" t="s">
        <v>768</v>
      </c>
      <c r="I246" t="s">
        <v>640</v>
      </c>
    </row>
    <row r="247" spans="1:9">
      <c r="A247">
        <v>246</v>
      </c>
      <c r="B247" t="s">
        <v>545</v>
      </c>
      <c r="C247" t="s">
        <v>548</v>
      </c>
      <c r="D247" t="s">
        <v>199</v>
      </c>
      <c r="E247">
        <v>3</v>
      </c>
      <c r="F247" t="s">
        <v>767</v>
      </c>
      <c r="G247" t="s">
        <v>695</v>
      </c>
      <c r="H247" t="s">
        <v>768</v>
      </c>
      <c r="I247" t="s">
        <v>640</v>
      </c>
    </row>
    <row r="248" spans="1:9">
      <c r="A248">
        <v>247</v>
      </c>
      <c r="B248" t="s">
        <v>545</v>
      </c>
      <c r="C248" t="s">
        <v>548</v>
      </c>
      <c r="D248" t="s">
        <v>343</v>
      </c>
      <c r="E248">
        <v>4</v>
      </c>
      <c r="F248" t="s">
        <v>767</v>
      </c>
      <c r="G248" t="s">
        <v>695</v>
      </c>
      <c r="H248" t="s">
        <v>768</v>
      </c>
      <c r="I248" t="s">
        <v>640</v>
      </c>
    </row>
    <row r="249" spans="1:9">
      <c r="A249">
        <v>248</v>
      </c>
      <c r="B249" t="s">
        <v>545</v>
      </c>
      <c r="C249" t="s">
        <v>549</v>
      </c>
      <c r="D249" t="s">
        <v>335</v>
      </c>
      <c r="E249">
        <v>60</v>
      </c>
      <c r="F249" t="s">
        <v>756</v>
      </c>
      <c r="G249" t="s">
        <v>695</v>
      </c>
      <c r="H249" t="s">
        <v>769</v>
      </c>
      <c r="I249" t="s">
        <v>641</v>
      </c>
    </row>
    <row r="250" spans="1:9">
      <c r="A250">
        <v>249</v>
      </c>
      <c r="B250" t="s">
        <v>545</v>
      </c>
      <c r="C250" t="s">
        <v>549</v>
      </c>
      <c r="D250" t="s">
        <v>344</v>
      </c>
      <c r="E250">
        <v>20</v>
      </c>
      <c r="F250" t="s">
        <v>756</v>
      </c>
      <c r="G250" t="s">
        <v>695</v>
      </c>
      <c r="H250" t="s">
        <v>769</v>
      </c>
      <c r="I250" t="s">
        <v>641</v>
      </c>
    </row>
    <row r="251" spans="1:9">
      <c r="A251">
        <v>250</v>
      </c>
      <c r="B251" t="s">
        <v>545</v>
      </c>
      <c r="C251" t="s">
        <v>549</v>
      </c>
      <c r="D251" t="s">
        <v>345</v>
      </c>
      <c r="E251">
        <v>8</v>
      </c>
      <c r="F251" t="s">
        <v>756</v>
      </c>
      <c r="G251" t="s">
        <v>695</v>
      </c>
      <c r="H251" t="s">
        <v>769</v>
      </c>
      <c r="I251" t="s">
        <v>641</v>
      </c>
    </row>
    <row r="252" spans="1:9">
      <c r="A252">
        <v>251</v>
      </c>
      <c r="B252" t="s">
        <v>545</v>
      </c>
      <c r="C252" t="s">
        <v>549</v>
      </c>
      <c r="D252" t="s">
        <v>208</v>
      </c>
      <c r="E252">
        <v>5</v>
      </c>
      <c r="F252" t="s">
        <v>756</v>
      </c>
      <c r="G252" t="s">
        <v>695</v>
      </c>
      <c r="H252" t="s">
        <v>769</v>
      </c>
      <c r="I252" t="s">
        <v>641</v>
      </c>
    </row>
    <row r="253" spans="1:9">
      <c r="A253">
        <v>252</v>
      </c>
      <c r="B253" t="s">
        <v>545</v>
      </c>
      <c r="C253" t="s">
        <v>549</v>
      </c>
      <c r="D253" t="s">
        <v>346</v>
      </c>
      <c r="E253">
        <v>7</v>
      </c>
      <c r="F253" t="s">
        <v>756</v>
      </c>
      <c r="G253" t="s">
        <v>495</v>
      </c>
      <c r="H253" t="s">
        <v>770</v>
      </c>
      <c r="I253" t="s">
        <v>642</v>
      </c>
    </row>
    <row r="254" spans="1:9">
      <c r="A254">
        <v>253</v>
      </c>
      <c r="B254" t="s">
        <v>545</v>
      </c>
      <c r="C254" t="s">
        <v>550</v>
      </c>
      <c r="D254" t="s">
        <v>347</v>
      </c>
      <c r="E254">
        <v>45</v>
      </c>
      <c r="F254" t="s">
        <v>763</v>
      </c>
      <c r="G254" t="s">
        <v>695</v>
      </c>
      <c r="H254" t="s">
        <v>771</v>
      </c>
      <c r="I254" t="s">
        <v>643</v>
      </c>
    </row>
    <row r="255" spans="1:9">
      <c r="A255">
        <v>254</v>
      </c>
      <c r="B255" t="s">
        <v>545</v>
      </c>
      <c r="C255" t="s">
        <v>550</v>
      </c>
      <c r="D255" t="s">
        <v>348</v>
      </c>
      <c r="E255">
        <v>25</v>
      </c>
      <c r="F255" t="s">
        <v>763</v>
      </c>
      <c r="G255" t="s">
        <v>695</v>
      </c>
      <c r="H255" t="s">
        <v>771</v>
      </c>
      <c r="I255" t="s">
        <v>643</v>
      </c>
    </row>
    <row r="256" spans="1:9">
      <c r="A256">
        <v>255</v>
      </c>
      <c r="B256" t="s">
        <v>545</v>
      </c>
      <c r="C256" t="s">
        <v>550</v>
      </c>
      <c r="D256" t="s">
        <v>349</v>
      </c>
      <c r="E256">
        <v>8</v>
      </c>
      <c r="F256" t="s">
        <v>763</v>
      </c>
      <c r="G256" t="s">
        <v>695</v>
      </c>
      <c r="H256" t="s">
        <v>771</v>
      </c>
      <c r="I256" t="s">
        <v>643</v>
      </c>
    </row>
    <row r="257" spans="1:9">
      <c r="A257">
        <v>256</v>
      </c>
      <c r="B257" t="s">
        <v>545</v>
      </c>
      <c r="C257" t="s">
        <v>550</v>
      </c>
      <c r="D257" t="s">
        <v>350</v>
      </c>
      <c r="E257">
        <v>7</v>
      </c>
      <c r="F257" t="s">
        <v>763</v>
      </c>
      <c r="G257" t="s">
        <v>695</v>
      </c>
      <c r="H257" t="s">
        <v>771</v>
      </c>
      <c r="I257" t="s">
        <v>643</v>
      </c>
    </row>
    <row r="258" spans="1:9">
      <c r="A258">
        <v>257</v>
      </c>
      <c r="B258" t="s">
        <v>545</v>
      </c>
      <c r="C258" t="s">
        <v>550</v>
      </c>
      <c r="D258" t="s">
        <v>351</v>
      </c>
      <c r="E258">
        <v>8</v>
      </c>
      <c r="F258" t="s">
        <v>763</v>
      </c>
      <c r="G258" t="s">
        <v>695</v>
      </c>
      <c r="H258" t="s">
        <v>771</v>
      </c>
      <c r="I258" t="s">
        <v>643</v>
      </c>
    </row>
    <row r="259" spans="1:9">
      <c r="A259">
        <v>258</v>
      </c>
      <c r="B259" t="s">
        <v>545</v>
      </c>
      <c r="C259" t="s">
        <v>550</v>
      </c>
      <c r="D259" t="s">
        <v>352</v>
      </c>
      <c r="E259">
        <v>7</v>
      </c>
      <c r="F259" t="s">
        <v>763</v>
      </c>
      <c r="G259" t="s">
        <v>695</v>
      </c>
      <c r="H259" t="s">
        <v>771</v>
      </c>
      <c r="I259" t="s">
        <v>643</v>
      </c>
    </row>
    <row r="260" spans="1:9">
      <c r="A260">
        <v>259</v>
      </c>
      <c r="B260" t="s">
        <v>545</v>
      </c>
      <c r="C260" t="s">
        <v>551</v>
      </c>
      <c r="D260" t="s">
        <v>353</v>
      </c>
      <c r="E260">
        <v>45</v>
      </c>
      <c r="F260" t="s">
        <v>763</v>
      </c>
      <c r="G260" t="s">
        <v>695</v>
      </c>
      <c r="H260" t="s">
        <v>771</v>
      </c>
      <c r="I260" t="s">
        <v>643</v>
      </c>
    </row>
    <row r="261" spans="1:9">
      <c r="A261">
        <v>260</v>
      </c>
      <c r="B261" t="s">
        <v>545</v>
      </c>
      <c r="C261" t="s">
        <v>551</v>
      </c>
      <c r="D261" t="s">
        <v>354</v>
      </c>
      <c r="E261">
        <v>30</v>
      </c>
      <c r="F261" t="s">
        <v>763</v>
      </c>
      <c r="G261" t="s">
        <v>695</v>
      </c>
      <c r="H261" t="s">
        <v>771</v>
      </c>
      <c r="I261" t="s">
        <v>643</v>
      </c>
    </row>
    <row r="262" spans="1:9">
      <c r="A262">
        <v>261</v>
      </c>
      <c r="B262" t="s">
        <v>545</v>
      </c>
      <c r="C262" t="s">
        <v>551</v>
      </c>
      <c r="D262" t="s">
        <v>355</v>
      </c>
      <c r="E262">
        <v>10</v>
      </c>
      <c r="F262" t="s">
        <v>763</v>
      </c>
      <c r="G262" t="s">
        <v>695</v>
      </c>
      <c r="H262" t="s">
        <v>771</v>
      </c>
      <c r="I262" t="s">
        <v>643</v>
      </c>
    </row>
    <row r="263" spans="1:9">
      <c r="A263">
        <v>262</v>
      </c>
      <c r="B263" t="s">
        <v>545</v>
      </c>
      <c r="C263" t="s">
        <v>551</v>
      </c>
      <c r="D263" t="s">
        <v>356</v>
      </c>
      <c r="E263">
        <v>5</v>
      </c>
      <c r="F263" t="s">
        <v>763</v>
      </c>
      <c r="G263" t="s">
        <v>695</v>
      </c>
      <c r="H263" t="s">
        <v>771</v>
      </c>
      <c r="I263" t="s">
        <v>643</v>
      </c>
    </row>
    <row r="264" spans="1:9">
      <c r="A264">
        <v>263</v>
      </c>
      <c r="B264" t="s">
        <v>545</v>
      </c>
      <c r="C264" t="s">
        <v>551</v>
      </c>
      <c r="D264" t="s">
        <v>282</v>
      </c>
      <c r="E264">
        <v>5</v>
      </c>
      <c r="F264" t="s">
        <v>763</v>
      </c>
      <c r="G264" t="s">
        <v>695</v>
      </c>
      <c r="H264" t="s">
        <v>771</v>
      </c>
      <c r="I264" t="s">
        <v>643</v>
      </c>
    </row>
    <row r="265" spans="1:9">
      <c r="A265">
        <v>264</v>
      </c>
      <c r="B265" t="s">
        <v>545</v>
      </c>
      <c r="C265" t="s">
        <v>551</v>
      </c>
      <c r="D265" t="s">
        <v>357</v>
      </c>
      <c r="E265">
        <v>5</v>
      </c>
      <c r="F265" t="s">
        <v>763</v>
      </c>
      <c r="G265" t="s">
        <v>695</v>
      </c>
      <c r="H265" t="s">
        <v>771</v>
      </c>
      <c r="I265" t="s">
        <v>643</v>
      </c>
    </row>
    <row r="266" spans="1:9">
      <c r="A266">
        <v>265</v>
      </c>
      <c r="B266" t="s">
        <v>545</v>
      </c>
      <c r="C266" t="s">
        <v>552</v>
      </c>
      <c r="D266" t="s">
        <v>358</v>
      </c>
      <c r="E266">
        <v>60</v>
      </c>
      <c r="F266" t="s">
        <v>756</v>
      </c>
      <c r="G266" t="s">
        <v>699</v>
      </c>
      <c r="H266" t="s">
        <v>772</v>
      </c>
      <c r="I266" t="s">
        <v>644</v>
      </c>
    </row>
    <row r="267" spans="1:9">
      <c r="A267">
        <v>266</v>
      </c>
      <c r="B267" t="s">
        <v>545</v>
      </c>
      <c r="C267" t="s">
        <v>552</v>
      </c>
      <c r="D267" t="s">
        <v>359</v>
      </c>
      <c r="E267">
        <v>10</v>
      </c>
      <c r="F267" t="s">
        <v>756</v>
      </c>
      <c r="G267" t="s">
        <v>699</v>
      </c>
      <c r="H267" t="s">
        <v>772</v>
      </c>
      <c r="I267" t="s">
        <v>644</v>
      </c>
    </row>
    <row r="268" spans="1:9">
      <c r="A268">
        <v>267</v>
      </c>
      <c r="B268" t="s">
        <v>545</v>
      </c>
      <c r="C268" t="s">
        <v>552</v>
      </c>
      <c r="D268" t="s">
        <v>360</v>
      </c>
      <c r="E268">
        <v>8</v>
      </c>
      <c r="F268" t="s">
        <v>756</v>
      </c>
      <c r="G268" t="s">
        <v>699</v>
      </c>
      <c r="H268" t="s">
        <v>772</v>
      </c>
      <c r="I268" t="s">
        <v>644</v>
      </c>
    </row>
    <row r="269" spans="1:9">
      <c r="A269">
        <v>268</v>
      </c>
      <c r="B269" t="s">
        <v>545</v>
      </c>
      <c r="C269" t="s">
        <v>552</v>
      </c>
      <c r="D269" t="s">
        <v>279</v>
      </c>
      <c r="E269">
        <v>12</v>
      </c>
      <c r="F269" t="s">
        <v>756</v>
      </c>
      <c r="G269" t="s">
        <v>699</v>
      </c>
      <c r="H269" t="s">
        <v>772</v>
      </c>
      <c r="I269" t="s">
        <v>644</v>
      </c>
    </row>
    <row r="270" spans="1:9">
      <c r="A270">
        <v>269</v>
      </c>
      <c r="B270" t="s">
        <v>545</v>
      </c>
      <c r="C270" t="s">
        <v>552</v>
      </c>
      <c r="D270" t="s">
        <v>361</v>
      </c>
      <c r="E270">
        <v>5</v>
      </c>
      <c r="F270" t="s">
        <v>756</v>
      </c>
      <c r="G270" t="s">
        <v>699</v>
      </c>
      <c r="H270" t="s">
        <v>772</v>
      </c>
      <c r="I270" t="s">
        <v>644</v>
      </c>
    </row>
    <row r="271" spans="1:9">
      <c r="A271">
        <v>270</v>
      </c>
      <c r="B271" t="s">
        <v>545</v>
      </c>
      <c r="C271" t="s">
        <v>552</v>
      </c>
      <c r="D271" t="s">
        <v>282</v>
      </c>
      <c r="E271">
        <v>5</v>
      </c>
      <c r="F271" t="s">
        <v>756</v>
      </c>
      <c r="G271" t="s">
        <v>699</v>
      </c>
      <c r="H271" t="s">
        <v>772</v>
      </c>
      <c r="I271" t="s">
        <v>644</v>
      </c>
    </row>
    <row r="272" spans="1:9">
      <c r="A272">
        <v>271</v>
      </c>
      <c r="B272" t="s">
        <v>553</v>
      </c>
      <c r="C272" t="s">
        <v>554</v>
      </c>
      <c r="D272" t="s">
        <v>362</v>
      </c>
      <c r="E272">
        <v>55</v>
      </c>
      <c r="F272" t="s">
        <v>773</v>
      </c>
      <c r="G272" t="s">
        <v>695</v>
      </c>
      <c r="H272" t="s">
        <v>774</v>
      </c>
      <c r="I272" t="s">
        <v>645</v>
      </c>
    </row>
    <row r="273" spans="1:9">
      <c r="A273">
        <v>272</v>
      </c>
      <c r="B273" t="s">
        <v>553</v>
      </c>
      <c r="C273" t="s">
        <v>554</v>
      </c>
      <c r="D273" t="s">
        <v>364</v>
      </c>
      <c r="E273">
        <v>10</v>
      </c>
      <c r="F273" t="s">
        <v>775</v>
      </c>
      <c r="G273" t="s">
        <v>699</v>
      </c>
      <c r="H273" t="s">
        <v>776</v>
      </c>
      <c r="I273" t="s">
        <v>646</v>
      </c>
    </row>
    <row r="274" spans="1:9">
      <c r="A274">
        <v>273</v>
      </c>
      <c r="B274" t="s">
        <v>553</v>
      </c>
      <c r="C274" t="s">
        <v>554</v>
      </c>
      <c r="D274" t="s">
        <v>316</v>
      </c>
      <c r="E274">
        <v>8</v>
      </c>
      <c r="F274" t="s">
        <v>775</v>
      </c>
      <c r="G274" t="s">
        <v>695</v>
      </c>
      <c r="H274" t="s">
        <v>777</v>
      </c>
      <c r="I274" t="s">
        <v>647</v>
      </c>
    </row>
    <row r="275" spans="1:9">
      <c r="A275">
        <v>274</v>
      </c>
      <c r="B275" t="s">
        <v>553</v>
      </c>
      <c r="C275" t="s">
        <v>554</v>
      </c>
      <c r="D275" t="s">
        <v>365</v>
      </c>
      <c r="E275">
        <v>8</v>
      </c>
      <c r="F275" t="s">
        <v>763</v>
      </c>
      <c r="G275" t="s">
        <v>699</v>
      </c>
      <c r="H275" t="s">
        <v>778</v>
      </c>
      <c r="I275" t="s">
        <v>648</v>
      </c>
    </row>
    <row r="276" spans="1:9">
      <c r="A276">
        <v>275</v>
      </c>
      <c r="B276" t="s">
        <v>553</v>
      </c>
      <c r="C276" t="s">
        <v>554</v>
      </c>
      <c r="D276" t="s">
        <v>366</v>
      </c>
      <c r="E276">
        <v>8</v>
      </c>
      <c r="F276" t="s">
        <v>775</v>
      </c>
      <c r="G276" t="s">
        <v>699</v>
      </c>
      <c r="H276" t="s">
        <v>776</v>
      </c>
      <c r="I276" t="s">
        <v>646</v>
      </c>
    </row>
    <row r="277" spans="1:9">
      <c r="A277">
        <v>276</v>
      </c>
      <c r="B277" t="s">
        <v>553</v>
      </c>
      <c r="C277" t="s">
        <v>554</v>
      </c>
      <c r="D277" t="s">
        <v>285</v>
      </c>
      <c r="E277">
        <v>4</v>
      </c>
      <c r="F277" t="s">
        <v>775</v>
      </c>
      <c r="G277" t="s">
        <v>699</v>
      </c>
      <c r="H277" t="s">
        <v>776</v>
      </c>
      <c r="I277" t="s">
        <v>646</v>
      </c>
    </row>
    <row r="278" spans="1:9">
      <c r="A278">
        <v>277</v>
      </c>
      <c r="B278" t="s">
        <v>553</v>
      </c>
      <c r="C278" t="s">
        <v>554</v>
      </c>
      <c r="D278" t="s">
        <v>367</v>
      </c>
      <c r="E278">
        <v>4</v>
      </c>
      <c r="F278" t="s">
        <v>758</v>
      </c>
      <c r="G278" t="s">
        <v>495</v>
      </c>
      <c r="H278" t="s">
        <v>779</v>
      </c>
      <c r="I278" t="s">
        <v>649</v>
      </c>
    </row>
    <row r="279" spans="1:9">
      <c r="A279">
        <v>278</v>
      </c>
      <c r="B279" t="s">
        <v>553</v>
      </c>
      <c r="C279" t="s">
        <v>554</v>
      </c>
      <c r="D279" t="s">
        <v>269</v>
      </c>
      <c r="E279">
        <v>3</v>
      </c>
      <c r="F279" t="s">
        <v>775</v>
      </c>
      <c r="G279" t="s">
        <v>699</v>
      </c>
      <c r="H279" t="s">
        <v>776</v>
      </c>
      <c r="I279" t="s">
        <v>646</v>
      </c>
    </row>
    <row r="280" spans="1:9">
      <c r="A280">
        <v>279</v>
      </c>
      <c r="B280" t="s">
        <v>553</v>
      </c>
      <c r="C280" t="s">
        <v>555</v>
      </c>
      <c r="D280" t="s">
        <v>368</v>
      </c>
      <c r="E280">
        <v>45</v>
      </c>
      <c r="F280" t="s">
        <v>773</v>
      </c>
      <c r="G280" t="s">
        <v>695</v>
      </c>
      <c r="H280" t="s">
        <v>774</v>
      </c>
      <c r="I280" t="s">
        <v>645</v>
      </c>
    </row>
    <row r="281" spans="1:9">
      <c r="A281">
        <v>280</v>
      </c>
      <c r="B281" t="s">
        <v>553</v>
      </c>
      <c r="C281" t="s">
        <v>555</v>
      </c>
      <c r="D281" t="s">
        <v>364</v>
      </c>
      <c r="E281">
        <v>8</v>
      </c>
      <c r="F281" t="s">
        <v>775</v>
      </c>
      <c r="G281" t="s">
        <v>699</v>
      </c>
      <c r="H281" t="s">
        <v>776</v>
      </c>
      <c r="I281" t="s">
        <v>646</v>
      </c>
    </row>
    <row r="282" spans="1:9">
      <c r="A282">
        <v>281</v>
      </c>
      <c r="B282" t="s">
        <v>553</v>
      </c>
      <c r="C282" t="s">
        <v>555</v>
      </c>
      <c r="D282" t="s">
        <v>365</v>
      </c>
      <c r="E282">
        <v>12</v>
      </c>
      <c r="F282" t="s">
        <v>763</v>
      </c>
      <c r="G282" t="s">
        <v>699</v>
      </c>
      <c r="H282" t="s">
        <v>778</v>
      </c>
      <c r="I282" t="s">
        <v>648</v>
      </c>
    </row>
    <row r="283" spans="1:9">
      <c r="A283">
        <v>282</v>
      </c>
      <c r="B283" t="s">
        <v>553</v>
      </c>
      <c r="C283" t="s">
        <v>555</v>
      </c>
      <c r="D283" t="s">
        <v>369</v>
      </c>
      <c r="E283">
        <v>8</v>
      </c>
      <c r="F283" t="s">
        <v>780</v>
      </c>
      <c r="G283" t="s">
        <v>695</v>
      </c>
      <c r="H283" t="s">
        <v>781</v>
      </c>
      <c r="I283" t="s">
        <v>650</v>
      </c>
    </row>
    <row r="284" spans="1:9">
      <c r="A284">
        <v>283</v>
      </c>
      <c r="B284" t="s">
        <v>553</v>
      </c>
      <c r="C284" t="s">
        <v>555</v>
      </c>
      <c r="D284" t="s">
        <v>370</v>
      </c>
      <c r="E284">
        <v>10</v>
      </c>
      <c r="F284" t="s">
        <v>758</v>
      </c>
      <c r="G284" t="s">
        <v>495</v>
      </c>
      <c r="H284" t="s">
        <v>779</v>
      </c>
      <c r="I284" t="s">
        <v>649</v>
      </c>
    </row>
    <row r="285" spans="1:9">
      <c r="A285">
        <v>284</v>
      </c>
      <c r="B285" t="s">
        <v>553</v>
      </c>
      <c r="C285" t="s">
        <v>555</v>
      </c>
      <c r="D285" t="s">
        <v>371</v>
      </c>
      <c r="E285">
        <v>8</v>
      </c>
      <c r="F285" t="s">
        <v>775</v>
      </c>
      <c r="G285" t="s">
        <v>699</v>
      </c>
      <c r="H285" t="s">
        <v>776</v>
      </c>
      <c r="I285" t="s">
        <v>646</v>
      </c>
    </row>
    <row r="286" spans="1:9">
      <c r="A286">
        <v>285</v>
      </c>
      <c r="B286" t="s">
        <v>553</v>
      </c>
      <c r="C286" t="s">
        <v>555</v>
      </c>
      <c r="D286" t="s">
        <v>372</v>
      </c>
      <c r="E286">
        <v>4</v>
      </c>
      <c r="F286" t="s">
        <v>775</v>
      </c>
      <c r="G286" t="s">
        <v>699</v>
      </c>
      <c r="H286" t="s">
        <v>776</v>
      </c>
      <c r="I286" t="s">
        <v>646</v>
      </c>
    </row>
    <row r="287" spans="1:9">
      <c r="A287">
        <v>286</v>
      </c>
      <c r="B287" t="s">
        <v>553</v>
      </c>
      <c r="C287" t="s">
        <v>555</v>
      </c>
      <c r="D287" t="s">
        <v>373</v>
      </c>
      <c r="E287">
        <v>5</v>
      </c>
      <c r="F287" t="s">
        <v>758</v>
      </c>
      <c r="G287" t="s">
        <v>495</v>
      </c>
      <c r="H287" t="s">
        <v>779</v>
      </c>
      <c r="I287" t="s">
        <v>649</v>
      </c>
    </row>
    <row r="288" spans="1:9">
      <c r="A288">
        <v>287</v>
      </c>
      <c r="B288" t="s">
        <v>553</v>
      </c>
      <c r="C288" t="s">
        <v>556</v>
      </c>
      <c r="D288" t="s">
        <v>374</v>
      </c>
      <c r="E288">
        <v>55</v>
      </c>
      <c r="F288" t="s">
        <v>782</v>
      </c>
      <c r="G288" t="s">
        <v>695</v>
      </c>
      <c r="H288" t="s">
        <v>783</v>
      </c>
      <c r="I288" t="s">
        <v>651</v>
      </c>
    </row>
    <row r="289" spans="1:9">
      <c r="A289">
        <v>288</v>
      </c>
      <c r="B289" t="s">
        <v>553</v>
      </c>
      <c r="C289" t="s">
        <v>556</v>
      </c>
      <c r="D289" t="s">
        <v>375</v>
      </c>
      <c r="E289">
        <v>15</v>
      </c>
      <c r="F289" t="s">
        <v>782</v>
      </c>
      <c r="G289" t="s">
        <v>695</v>
      </c>
      <c r="H289" t="s">
        <v>783</v>
      </c>
      <c r="I289" t="s">
        <v>651</v>
      </c>
    </row>
    <row r="290" spans="1:9">
      <c r="A290">
        <v>289</v>
      </c>
      <c r="B290" t="s">
        <v>553</v>
      </c>
      <c r="C290" t="s">
        <v>556</v>
      </c>
      <c r="D290" t="s">
        <v>376</v>
      </c>
      <c r="E290">
        <v>12</v>
      </c>
      <c r="F290" t="s">
        <v>782</v>
      </c>
      <c r="G290" t="s">
        <v>695</v>
      </c>
      <c r="H290" t="s">
        <v>783</v>
      </c>
      <c r="I290" t="s">
        <v>651</v>
      </c>
    </row>
    <row r="291" spans="1:9">
      <c r="A291">
        <v>290</v>
      </c>
      <c r="B291" t="s">
        <v>553</v>
      </c>
      <c r="C291" t="s">
        <v>556</v>
      </c>
      <c r="D291" t="s">
        <v>377</v>
      </c>
      <c r="E291">
        <v>8</v>
      </c>
      <c r="F291" t="s">
        <v>782</v>
      </c>
      <c r="G291" t="s">
        <v>695</v>
      </c>
      <c r="H291" t="s">
        <v>783</v>
      </c>
      <c r="I291" t="s">
        <v>651</v>
      </c>
    </row>
    <row r="292" spans="1:9">
      <c r="A292">
        <v>291</v>
      </c>
      <c r="B292" t="s">
        <v>553</v>
      </c>
      <c r="C292" t="s">
        <v>556</v>
      </c>
      <c r="D292" t="s">
        <v>333</v>
      </c>
      <c r="E292">
        <v>6</v>
      </c>
      <c r="F292" t="s">
        <v>782</v>
      </c>
      <c r="G292" t="s">
        <v>695</v>
      </c>
      <c r="H292" t="s">
        <v>783</v>
      </c>
      <c r="I292" t="s">
        <v>651</v>
      </c>
    </row>
    <row r="293" spans="1:9">
      <c r="A293">
        <v>292</v>
      </c>
      <c r="B293" t="s">
        <v>553</v>
      </c>
      <c r="C293" t="s">
        <v>556</v>
      </c>
      <c r="D293" t="s">
        <v>199</v>
      </c>
      <c r="E293">
        <v>2</v>
      </c>
      <c r="F293" t="s">
        <v>782</v>
      </c>
      <c r="G293" t="s">
        <v>695</v>
      </c>
      <c r="H293" t="s">
        <v>783</v>
      </c>
      <c r="I293" t="s">
        <v>651</v>
      </c>
    </row>
    <row r="294" spans="1:9">
      <c r="A294">
        <v>293</v>
      </c>
      <c r="B294" t="s">
        <v>553</v>
      </c>
      <c r="C294" t="s">
        <v>556</v>
      </c>
      <c r="D294" t="s">
        <v>269</v>
      </c>
      <c r="E294">
        <v>2</v>
      </c>
      <c r="F294" t="s">
        <v>782</v>
      </c>
      <c r="G294" t="s">
        <v>695</v>
      </c>
      <c r="H294" t="s">
        <v>783</v>
      </c>
      <c r="I294" t="s">
        <v>651</v>
      </c>
    </row>
    <row r="295" spans="1:9">
      <c r="A295">
        <v>294</v>
      </c>
      <c r="B295" t="s">
        <v>553</v>
      </c>
      <c r="C295" t="s">
        <v>557</v>
      </c>
      <c r="D295" t="s">
        <v>378</v>
      </c>
      <c r="E295">
        <v>60</v>
      </c>
      <c r="F295" t="s">
        <v>780</v>
      </c>
      <c r="G295" t="s">
        <v>695</v>
      </c>
      <c r="H295" t="s">
        <v>781</v>
      </c>
      <c r="I295" t="s">
        <v>650</v>
      </c>
    </row>
    <row r="296" spans="1:9">
      <c r="A296">
        <v>295</v>
      </c>
      <c r="B296" t="s">
        <v>553</v>
      </c>
      <c r="C296" t="s">
        <v>557</v>
      </c>
      <c r="D296" t="s">
        <v>376</v>
      </c>
      <c r="E296">
        <v>15</v>
      </c>
      <c r="F296" t="s">
        <v>780</v>
      </c>
      <c r="G296" t="s">
        <v>695</v>
      </c>
      <c r="H296" t="s">
        <v>781</v>
      </c>
      <c r="I296" t="s">
        <v>650</v>
      </c>
    </row>
    <row r="297" spans="1:9">
      <c r="A297">
        <v>296</v>
      </c>
      <c r="B297" t="s">
        <v>553</v>
      </c>
      <c r="C297" t="s">
        <v>557</v>
      </c>
      <c r="D297" t="s">
        <v>379</v>
      </c>
      <c r="E297">
        <v>12</v>
      </c>
      <c r="F297" t="s">
        <v>763</v>
      </c>
      <c r="G297" t="s">
        <v>699</v>
      </c>
      <c r="H297" t="s">
        <v>778</v>
      </c>
      <c r="I297" t="s">
        <v>648</v>
      </c>
    </row>
    <row r="298" spans="1:9">
      <c r="A298">
        <v>297</v>
      </c>
      <c r="B298" t="s">
        <v>553</v>
      </c>
      <c r="C298" t="s">
        <v>557</v>
      </c>
      <c r="D298" t="s">
        <v>380</v>
      </c>
      <c r="E298">
        <v>5</v>
      </c>
      <c r="F298" t="s">
        <v>780</v>
      </c>
      <c r="G298" t="s">
        <v>695</v>
      </c>
      <c r="H298" t="s">
        <v>781</v>
      </c>
      <c r="I298" t="s">
        <v>650</v>
      </c>
    </row>
    <row r="299" spans="1:9">
      <c r="A299">
        <v>298</v>
      </c>
      <c r="B299" t="s">
        <v>553</v>
      </c>
      <c r="C299" t="s">
        <v>557</v>
      </c>
      <c r="D299" t="s">
        <v>199</v>
      </c>
      <c r="E299">
        <v>3</v>
      </c>
      <c r="F299" t="s">
        <v>780</v>
      </c>
      <c r="G299" t="s">
        <v>695</v>
      </c>
      <c r="H299" t="s">
        <v>781</v>
      </c>
      <c r="I299" t="s">
        <v>650</v>
      </c>
    </row>
    <row r="300" spans="1:9">
      <c r="A300">
        <v>299</v>
      </c>
      <c r="B300" t="s">
        <v>553</v>
      </c>
      <c r="C300" t="s">
        <v>557</v>
      </c>
      <c r="D300" t="s">
        <v>381</v>
      </c>
      <c r="E300">
        <v>5</v>
      </c>
      <c r="F300" t="s">
        <v>780</v>
      </c>
      <c r="G300" t="s">
        <v>695</v>
      </c>
      <c r="H300" t="s">
        <v>781</v>
      </c>
      <c r="I300" t="s">
        <v>650</v>
      </c>
    </row>
    <row r="301" spans="1:9">
      <c r="A301">
        <v>300</v>
      </c>
      <c r="B301" t="s">
        <v>553</v>
      </c>
      <c r="C301" t="s">
        <v>558</v>
      </c>
      <c r="D301" t="s">
        <v>139</v>
      </c>
      <c r="E301">
        <v>40</v>
      </c>
      <c r="F301" t="s">
        <v>775</v>
      </c>
      <c r="G301" t="s">
        <v>695</v>
      </c>
      <c r="H301" t="s">
        <v>777</v>
      </c>
      <c r="I301" t="s">
        <v>647</v>
      </c>
    </row>
    <row r="302" spans="1:9">
      <c r="A302">
        <v>301</v>
      </c>
      <c r="B302" t="s">
        <v>553</v>
      </c>
      <c r="C302" t="s">
        <v>558</v>
      </c>
      <c r="D302" t="s">
        <v>382</v>
      </c>
      <c r="E302">
        <v>20</v>
      </c>
      <c r="F302" t="s">
        <v>780</v>
      </c>
      <c r="G302" t="s">
        <v>695</v>
      </c>
      <c r="H302" t="s">
        <v>781</v>
      </c>
      <c r="I302" t="s">
        <v>650</v>
      </c>
    </row>
    <row r="303" spans="1:9">
      <c r="A303">
        <v>302</v>
      </c>
      <c r="B303" t="s">
        <v>553</v>
      </c>
      <c r="C303" t="s">
        <v>558</v>
      </c>
      <c r="D303" t="s">
        <v>383</v>
      </c>
      <c r="E303">
        <v>12</v>
      </c>
      <c r="F303" t="s">
        <v>775</v>
      </c>
      <c r="G303" t="s">
        <v>695</v>
      </c>
      <c r="H303" t="s">
        <v>777</v>
      </c>
      <c r="I303" t="s">
        <v>647</v>
      </c>
    </row>
    <row r="304" spans="1:9">
      <c r="A304">
        <v>303</v>
      </c>
      <c r="B304" t="s">
        <v>553</v>
      </c>
      <c r="C304" t="s">
        <v>558</v>
      </c>
      <c r="D304" t="s">
        <v>384</v>
      </c>
      <c r="E304">
        <v>8</v>
      </c>
      <c r="F304" t="s">
        <v>763</v>
      </c>
      <c r="G304" t="s">
        <v>699</v>
      </c>
      <c r="H304" t="s">
        <v>778</v>
      </c>
      <c r="I304" t="s">
        <v>648</v>
      </c>
    </row>
    <row r="305" spans="1:9">
      <c r="A305">
        <v>304</v>
      </c>
      <c r="B305" t="s">
        <v>553</v>
      </c>
      <c r="C305" t="s">
        <v>558</v>
      </c>
      <c r="D305" t="s">
        <v>199</v>
      </c>
      <c r="E305">
        <v>8</v>
      </c>
      <c r="F305" t="s">
        <v>775</v>
      </c>
      <c r="G305" t="s">
        <v>695</v>
      </c>
      <c r="H305" t="s">
        <v>777</v>
      </c>
      <c r="I305" t="s">
        <v>647</v>
      </c>
    </row>
    <row r="306" spans="1:9">
      <c r="A306">
        <v>305</v>
      </c>
      <c r="B306" t="s">
        <v>553</v>
      </c>
      <c r="C306" t="s">
        <v>558</v>
      </c>
      <c r="D306" t="s">
        <v>385</v>
      </c>
      <c r="E306">
        <v>5</v>
      </c>
      <c r="F306" t="s">
        <v>775</v>
      </c>
      <c r="G306" t="s">
        <v>695</v>
      </c>
      <c r="H306" t="s">
        <v>777</v>
      </c>
      <c r="I306" t="s">
        <v>647</v>
      </c>
    </row>
    <row r="307" spans="1:9">
      <c r="A307">
        <v>306</v>
      </c>
      <c r="B307" t="s">
        <v>553</v>
      </c>
      <c r="C307" t="s">
        <v>558</v>
      </c>
      <c r="D307" t="s">
        <v>386</v>
      </c>
      <c r="E307">
        <v>7</v>
      </c>
      <c r="F307" t="s">
        <v>775</v>
      </c>
      <c r="G307" t="s">
        <v>695</v>
      </c>
      <c r="H307" t="s">
        <v>777</v>
      </c>
      <c r="I307" t="s">
        <v>647</v>
      </c>
    </row>
    <row r="308" spans="1:9">
      <c r="A308">
        <v>307</v>
      </c>
      <c r="B308" t="s">
        <v>559</v>
      </c>
      <c r="C308" t="s">
        <v>560</v>
      </c>
      <c r="D308" t="s">
        <v>387</v>
      </c>
      <c r="E308">
        <v>10</v>
      </c>
      <c r="F308" t="s">
        <v>782</v>
      </c>
      <c r="G308" t="s">
        <v>495</v>
      </c>
      <c r="H308" t="s">
        <v>784</v>
      </c>
      <c r="I308" t="s">
        <v>652</v>
      </c>
    </row>
    <row r="309" spans="1:9">
      <c r="A309">
        <v>308</v>
      </c>
      <c r="B309" t="s">
        <v>559</v>
      </c>
      <c r="C309" t="s">
        <v>560</v>
      </c>
      <c r="D309" t="s">
        <v>388</v>
      </c>
      <c r="E309">
        <v>8</v>
      </c>
      <c r="F309" t="s">
        <v>782</v>
      </c>
      <c r="G309" t="s">
        <v>495</v>
      </c>
      <c r="H309" t="s">
        <v>784</v>
      </c>
      <c r="I309" t="s">
        <v>652</v>
      </c>
    </row>
    <row r="310" spans="1:9">
      <c r="A310">
        <v>309</v>
      </c>
      <c r="B310" t="s">
        <v>559</v>
      </c>
      <c r="C310" t="s">
        <v>560</v>
      </c>
      <c r="D310" t="s">
        <v>389</v>
      </c>
      <c r="E310">
        <v>25</v>
      </c>
      <c r="F310" t="s">
        <v>782</v>
      </c>
      <c r="G310" t="s">
        <v>495</v>
      </c>
      <c r="H310" t="s">
        <v>784</v>
      </c>
      <c r="I310" t="s">
        <v>652</v>
      </c>
    </row>
    <row r="311" spans="1:9">
      <c r="A311">
        <v>310</v>
      </c>
      <c r="B311" t="s">
        <v>559</v>
      </c>
      <c r="C311" t="s">
        <v>560</v>
      </c>
      <c r="D311" t="s">
        <v>390</v>
      </c>
      <c r="E311">
        <v>20</v>
      </c>
      <c r="F311" t="s">
        <v>782</v>
      </c>
      <c r="G311" t="s">
        <v>495</v>
      </c>
      <c r="H311" t="s">
        <v>784</v>
      </c>
      <c r="I311" t="s">
        <v>652</v>
      </c>
    </row>
    <row r="312" spans="1:9">
      <c r="A312">
        <v>311</v>
      </c>
      <c r="B312" t="s">
        <v>559</v>
      </c>
      <c r="C312" t="s">
        <v>560</v>
      </c>
      <c r="D312" t="s">
        <v>391</v>
      </c>
      <c r="E312">
        <v>12</v>
      </c>
      <c r="F312" t="s">
        <v>763</v>
      </c>
      <c r="G312" t="s">
        <v>495</v>
      </c>
      <c r="H312" t="s">
        <v>785</v>
      </c>
      <c r="I312" t="s">
        <v>653</v>
      </c>
    </row>
    <row r="313" spans="1:9">
      <c r="A313">
        <v>312</v>
      </c>
      <c r="B313" t="s">
        <v>559</v>
      </c>
      <c r="C313" t="s">
        <v>560</v>
      </c>
      <c r="D313" t="s">
        <v>392</v>
      </c>
      <c r="E313">
        <v>10</v>
      </c>
      <c r="F313" t="s">
        <v>786</v>
      </c>
      <c r="G313" t="s">
        <v>695</v>
      </c>
      <c r="H313" t="s">
        <v>787</v>
      </c>
      <c r="I313" t="s">
        <v>654</v>
      </c>
    </row>
    <row r="314" spans="1:9">
      <c r="A314">
        <v>313</v>
      </c>
      <c r="B314" t="s">
        <v>559</v>
      </c>
      <c r="C314" t="s">
        <v>560</v>
      </c>
      <c r="D314" t="s">
        <v>199</v>
      </c>
      <c r="E314">
        <v>5</v>
      </c>
      <c r="F314" t="s">
        <v>701</v>
      </c>
      <c r="G314" t="s">
        <v>495</v>
      </c>
      <c r="H314" t="s">
        <v>788</v>
      </c>
      <c r="I314" t="s">
        <v>655</v>
      </c>
    </row>
    <row r="315" spans="1:9">
      <c r="A315">
        <v>314</v>
      </c>
      <c r="B315" t="s">
        <v>559</v>
      </c>
      <c r="C315" t="s">
        <v>560</v>
      </c>
      <c r="D315" t="s">
        <v>282</v>
      </c>
      <c r="E315">
        <v>10</v>
      </c>
      <c r="F315" t="s">
        <v>782</v>
      </c>
      <c r="G315" t="s">
        <v>495</v>
      </c>
      <c r="H315" t="s">
        <v>784</v>
      </c>
      <c r="I315" t="s">
        <v>652</v>
      </c>
    </row>
    <row r="316" spans="1:9">
      <c r="A316">
        <v>315</v>
      </c>
      <c r="B316" t="s">
        <v>559</v>
      </c>
      <c r="C316" t="s">
        <v>561</v>
      </c>
      <c r="D316" t="s">
        <v>393</v>
      </c>
      <c r="E316">
        <v>35</v>
      </c>
      <c r="F316" t="s">
        <v>782</v>
      </c>
      <c r="G316" t="s">
        <v>495</v>
      </c>
      <c r="H316" t="s">
        <v>784</v>
      </c>
      <c r="I316" t="s">
        <v>652</v>
      </c>
    </row>
    <row r="317" spans="1:9">
      <c r="A317">
        <v>316</v>
      </c>
      <c r="B317" t="s">
        <v>559</v>
      </c>
      <c r="C317" t="s">
        <v>561</v>
      </c>
      <c r="D317" t="s">
        <v>394</v>
      </c>
      <c r="E317">
        <v>20</v>
      </c>
      <c r="F317" t="s">
        <v>782</v>
      </c>
      <c r="G317" t="s">
        <v>495</v>
      </c>
      <c r="H317" t="s">
        <v>784</v>
      </c>
      <c r="I317" t="s">
        <v>652</v>
      </c>
    </row>
    <row r="318" spans="1:9">
      <c r="A318">
        <v>317</v>
      </c>
      <c r="B318" t="s">
        <v>559</v>
      </c>
      <c r="C318" t="s">
        <v>561</v>
      </c>
      <c r="D318" t="s">
        <v>391</v>
      </c>
      <c r="E318">
        <v>10</v>
      </c>
      <c r="F318" t="s">
        <v>763</v>
      </c>
      <c r="G318" t="s">
        <v>495</v>
      </c>
      <c r="H318" t="s">
        <v>785</v>
      </c>
      <c r="I318" t="s">
        <v>653</v>
      </c>
    </row>
    <row r="319" spans="1:9">
      <c r="A319">
        <v>318</v>
      </c>
      <c r="B319" t="s">
        <v>559</v>
      </c>
      <c r="C319" t="s">
        <v>561</v>
      </c>
      <c r="D319" t="s">
        <v>395</v>
      </c>
      <c r="E319">
        <v>8</v>
      </c>
      <c r="F319" t="s">
        <v>701</v>
      </c>
      <c r="G319" t="s">
        <v>495</v>
      </c>
      <c r="H319" t="s">
        <v>788</v>
      </c>
      <c r="I319" t="s">
        <v>655</v>
      </c>
    </row>
    <row r="320" spans="1:9">
      <c r="A320">
        <v>319</v>
      </c>
      <c r="B320" t="s">
        <v>559</v>
      </c>
      <c r="C320" t="s">
        <v>561</v>
      </c>
      <c r="D320" t="s">
        <v>396</v>
      </c>
      <c r="E320">
        <v>5</v>
      </c>
      <c r="F320" t="s">
        <v>786</v>
      </c>
      <c r="G320" t="s">
        <v>695</v>
      </c>
      <c r="H320" t="s">
        <v>787</v>
      </c>
      <c r="I320" t="s">
        <v>654</v>
      </c>
    </row>
    <row r="321" spans="1:9">
      <c r="A321">
        <v>320</v>
      </c>
      <c r="B321" t="s">
        <v>559</v>
      </c>
      <c r="C321" t="s">
        <v>561</v>
      </c>
      <c r="D321" t="s">
        <v>282</v>
      </c>
      <c r="E321">
        <v>7</v>
      </c>
      <c r="F321" t="s">
        <v>782</v>
      </c>
      <c r="G321" t="s">
        <v>495</v>
      </c>
      <c r="H321" t="s">
        <v>784</v>
      </c>
      <c r="I321" t="s">
        <v>652</v>
      </c>
    </row>
    <row r="322" spans="1:9">
      <c r="A322">
        <v>321</v>
      </c>
      <c r="B322" t="s">
        <v>559</v>
      </c>
      <c r="C322" t="s">
        <v>561</v>
      </c>
      <c r="D322" t="s">
        <v>397</v>
      </c>
      <c r="E322">
        <v>15</v>
      </c>
      <c r="F322" t="s">
        <v>782</v>
      </c>
      <c r="G322" t="s">
        <v>495</v>
      </c>
      <c r="H322" t="s">
        <v>784</v>
      </c>
      <c r="I322" t="s">
        <v>652</v>
      </c>
    </row>
    <row r="323" spans="1:9">
      <c r="A323">
        <v>322</v>
      </c>
      <c r="B323" t="s">
        <v>559</v>
      </c>
      <c r="C323" t="s">
        <v>562</v>
      </c>
      <c r="D323" t="s">
        <v>398</v>
      </c>
      <c r="E323">
        <v>40</v>
      </c>
      <c r="F323" t="s">
        <v>782</v>
      </c>
      <c r="G323" t="s">
        <v>495</v>
      </c>
      <c r="H323" t="s">
        <v>784</v>
      </c>
      <c r="I323" t="s">
        <v>652</v>
      </c>
    </row>
    <row r="324" spans="1:9">
      <c r="A324">
        <v>323</v>
      </c>
      <c r="B324" t="s">
        <v>559</v>
      </c>
      <c r="C324" t="s">
        <v>562</v>
      </c>
      <c r="D324" t="s">
        <v>399</v>
      </c>
      <c r="E324">
        <v>10</v>
      </c>
      <c r="F324" t="s">
        <v>782</v>
      </c>
      <c r="G324" t="s">
        <v>495</v>
      </c>
      <c r="H324" t="s">
        <v>784</v>
      </c>
      <c r="I324" t="s">
        <v>652</v>
      </c>
    </row>
    <row r="325" spans="1:9">
      <c r="A325">
        <v>324</v>
      </c>
      <c r="B325" t="s">
        <v>559</v>
      </c>
      <c r="C325" t="s">
        <v>562</v>
      </c>
      <c r="D325" t="s">
        <v>400</v>
      </c>
      <c r="E325">
        <v>25</v>
      </c>
      <c r="F325" t="s">
        <v>782</v>
      </c>
      <c r="G325" t="s">
        <v>495</v>
      </c>
      <c r="H325" t="s">
        <v>784</v>
      </c>
      <c r="I325" t="s">
        <v>652</v>
      </c>
    </row>
    <row r="326" spans="1:9">
      <c r="A326">
        <v>325</v>
      </c>
      <c r="B326" t="s">
        <v>559</v>
      </c>
      <c r="C326" t="s">
        <v>562</v>
      </c>
      <c r="D326" t="s">
        <v>391</v>
      </c>
      <c r="E326">
        <v>5</v>
      </c>
      <c r="F326" t="s">
        <v>763</v>
      </c>
      <c r="G326" t="s">
        <v>495</v>
      </c>
      <c r="H326" t="s">
        <v>785</v>
      </c>
      <c r="I326" t="s">
        <v>653</v>
      </c>
    </row>
    <row r="327" spans="1:9">
      <c r="A327">
        <v>326</v>
      </c>
      <c r="B327" t="s">
        <v>559</v>
      </c>
      <c r="C327" t="s">
        <v>562</v>
      </c>
      <c r="D327" t="s">
        <v>395</v>
      </c>
      <c r="E327">
        <v>8</v>
      </c>
      <c r="F327" t="s">
        <v>701</v>
      </c>
      <c r="G327" t="s">
        <v>495</v>
      </c>
      <c r="H327" t="s">
        <v>788</v>
      </c>
      <c r="I327" t="s">
        <v>655</v>
      </c>
    </row>
    <row r="328" spans="1:9">
      <c r="A328">
        <v>327</v>
      </c>
      <c r="B328" t="s">
        <v>559</v>
      </c>
      <c r="C328" t="s">
        <v>562</v>
      </c>
      <c r="D328" t="s">
        <v>282</v>
      </c>
      <c r="E328">
        <v>7</v>
      </c>
      <c r="F328" t="s">
        <v>782</v>
      </c>
      <c r="G328" t="s">
        <v>495</v>
      </c>
      <c r="H328" t="s">
        <v>784</v>
      </c>
      <c r="I328" t="s">
        <v>652</v>
      </c>
    </row>
    <row r="329" spans="1:9">
      <c r="A329">
        <v>328</v>
      </c>
      <c r="B329" t="s">
        <v>559</v>
      </c>
      <c r="C329" t="s">
        <v>562</v>
      </c>
      <c r="D329" t="s">
        <v>401</v>
      </c>
      <c r="E329">
        <v>5</v>
      </c>
      <c r="F329" t="s">
        <v>720</v>
      </c>
      <c r="G329" t="s">
        <v>699</v>
      </c>
      <c r="H329" t="s">
        <v>789</v>
      </c>
      <c r="I329" t="s">
        <v>656</v>
      </c>
    </row>
    <row r="330" spans="1:9">
      <c r="A330">
        <v>329</v>
      </c>
      <c r="B330" t="s">
        <v>559</v>
      </c>
      <c r="C330" t="s">
        <v>563</v>
      </c>
      <c r="D330" t="s">
        <v>402</v>
      </c>
      <c r="E330">
        <v>35</v>
      </c>
      <c r="F330" t="s">
        <v>786</v>
      </c>
      <c r="G330" t="s">
        <v>695</v>
      </c>
      <c r="H330" t="s">
        <v>787</v>
      </c>
      <c r="I330" t="s">
        <v>654</v>
      </c>
    </row>
    <row r="331" spans="1:9">
      <c r="A331">
        <v>330</v>
      </c>
      <c r="B331" t="s">
        <v>559</v>
      </c>
      <c r="C331" t="s">
        <v>563</v>
      </c>
      <c r="D331" t="s">
        <v>403</v>
      </c>
      <c r="E331">
        <v>20</v>
      </c>
      <c r="F331" t="s">
        <v>786</v>
      </c>
      <c r="G331" t="s">
        <v>695</v>
      </c>
      <c r="H331" t="s">
        <v>787</v>
      </c>
      <c r="I331" t="s">
        <v>654</v>
      </c>
    </row>
    <row r="332" spans="1:9">
      <c r="A332">
        <v>331</v>
      </c>
      <c r="B332" t="s">
        <v>559</v>
      </c>
      <c r="C332" t="s">
        <v>563</v>
      </c>
      <c r="D332" t="s">
        <v>395</v>
      </c>
      <c r="E332">
        <v>15</v>
      </c>
      <c r="F332" t="s">
        <v>786</v>
      </c>
      <c r="G332" t="s">
        <v>695</v>
      </c>
      <c r="H332" t="s">
        <v>787</v>
      </c>
      <c r="I332" t="s">
        <v>654</v>
      </c>
    </row>
    <row r="333" spans="1:9">
      <c r="A333">
        <v>332</v>
      </c>
      <c r="B333" t="s">
        <v>559</v>
      </c>
      <c r="C333" t="s">
        <v>563</v>
      </c>
      <c r="D333" t="s">
        <v>404</v>
      </c>
      <c r="E333">
        <v>8</v>
      </c>
      <c r="F333" t="s">
        <v>786</v>
      </c>
      <c r="G333" t="s">
        <v>695</v>
      </c>
      <c r="H333" t="s">
        <v>787</v>
      </c>
      <c r="I333" t="s">
        <v>654</v>
      </c>
    </row>
    <row r="334" spans="1:9">
      <c r="A334">
        <v>333</v>
      </c>
      <c r="B334" t="s">
        <v>559</v>
      </c>
      <c r="C334" t="s">
        <v>563</v>
      </c>
      <c r="D334" t="s">
        <v>405</v>
      </c>
      <c r="E334">
        <v>12</v>
      </c>
      <c r="F334" t="s">
        <v>786</v>
      </c>
      <c r="G334" t="s">
        <v>695</v>
      </c>
      <c r="H334" t="s">
        <v>787</v>
      </c>
      <c r="I334" t="s">
        <v>654</v>
      </c>
    </row>
    <row r="335" spans="1:9">
      <c r="A335">
        <v>334</v>
      </c>
      <c r="B335" t="s">
        <v>559</v>
      </c>
      <c r="C335" t="s">
        <v>563</v>
      </c>
      <c r="D335" t="s">
        <v>406</v>
      </c>
      <c r="E335">
        <v>5</v>
      </c>
      <c r="F335" t="s">
        <v>786</v>
      </c>
      <c r="G335" t="s">
        <v>695</v>
      </c>
      <c r="H335" t="s">
        <v>787</v>
      </c>
      <c r="I335" t="s">
        <v>654</v>
      </c>
    </row>
    <row r="336" spans="1:9">
      <c r="A336">
        <v>335</v>
      </c>
      <c r="B336" t="s">
        <v>559</v>
      </c>
      <c r="C336" t="s">
        <v>563</v>
      </c>
      <c r="D336" t="s">
        <v>269</v>
      </c>
      <c r="E336">
        <v>5</v>
      </c>
      <c r="F336" t="s">
        <v>786</v>
      </c>
      <c r="G336" t="s">
        <v>695</v>
      </c>
      <c r="H336" t="s">
        <v>787</v>
      </c>
      <c r="I336" t="s">
        <v>654</v>
      </c>
    </row>
    <row r="337" spans="1:9">
      <c r="A337">
        <v>336</v>
      </c>
      <c r="B337" t="s">
        <v>559</v>
      </c>
      <c r="C337" t="s">
        <v>564</v>
      </c>
      <c r="D337" t="s">
        <v>407</v>
      </c>
      <c r="E337">
        <v>85</v>
      </c>
      <c r="F337" t="s">
        <v>790</v>
      </c>
      <c r="G337" t="s">
        <v>695</v>
      </c>
      <c r="H337" t="s">
        <v>714</v>
      </c>
      <c r="I337" t="s">
        <v>657</v>
      </c>
    </row>
    <row r="338" spans="1:9">
      <c r="A338">
        <v>337</v>
      </c>
      <c r="B338" t="s">
        <v>559</v>
      </c>
      <c r="C338" t="s">
        <v>564</v>
      </c>
      <c r="D338" t="s">
        <v>409</v>
      </c>
      <c r="E338">
        <v>8</v>
      </c>
      <c r="F338" t="s">
        <v>790</v>
      </c>
      <c r="G338" t="s">
        <v>695</v>
      </c>
      <c r="H338" t="s">
        <v>714</v>
      </c>
      <c r="I338" t="s">
        <v>657</v>
      </c>
    </row>
    <row r="339" spans="1:9">
      <c r="A339">
        <v>338</v>
      </c>
      <c r="B339" t="s">
        <v>559</v>
      </c>
      <c r="C339" t="s">
        <v>564</v>
      </c>
      <c r="D339" t="s">
        <v>410</v>
      </c>
      <c r="E339">
        <v>3</v>
      </c>
      <c r="F339" t="s">
        <v>790</v>
      </c>
      <c r="G339" t="s">
        <v>695</v>
      </c>
      <c r="H339" t="s">
        <v>791</v>
      </c>
      <c r="I339" t="s">
        <v>658</v>
      </c>
    </row>
    <row r="340" spans="1:9">
      <c r="A340">
        <v>339</v>
      </c>
      <c r="B340" t="s">
        <v>559</v>
      </c>
      <c r="C340" t="s">
        <v>564</v>
      </c>
      <c r="D340" t="s">
        <v>411</v>
      </c>
      <c r="E340">
        <v>1</v>
      </c>
      <c r="F340" t="s">
        <v>790</v>
      </c>
      <c r="G340" t="s">
        <v>695</v>
      </c>
      <c r="H340" t="s">
        <v>791</v>
      </c>
      <c r="I340" t="s">
        <v>658</v>
      </c>
    </row>
    <row r="341" spans="1:9">
      <c r="A341">
        <v>340</v>
      </c>
      <c r="B341" t="s">
        <v>559</v>
      </c>
      <c r="C341" t="s">
        <v>564</v>
      </c>
      <c r="D341" t="s">
        <v>269</v>
      </c>
      <c r="E341">
        <v>3</v>
      </c>
      <c r="F341" t="s">
        <v>790</v>
      </c>
      <c r="G341" t="s">
        <v>695</v>
      </c>
      <c r="H341" t="s">
        <v>791</v>
      </c>
      <c r="I341" t="s">
        <v>658</v>
      </c>
    </row>
    <row r="342" spans="1:9">
      <c r="A342">
        <v>341</v>
      </c>
      <c r="B342" t="s">
        <v>559</v>
      </c>
      <c r="C342" t="s">
        <v>565</v>
      </c>
      <c r="D342" t="s">
        <v>412</v>
      </c>
      <c r="E342">
        <v>35</v>
      </c>
      <c r="F342" t="s">
        <v>718</v>
      </c>
      <c r="G342" t="s">
        <v>695</v>
      </c>
      <c r="H342" t="s">
        <v>792</v>
      </c>
      <c r="I342" t="s">
        <v>659</v>
      </c>
    </row>
    <row r="343" spans="1:9">
      <c r="A343">
        <v>342</v>
      </c>
      <c r="B343" t="s">
        <v>559</v>
      </c>
      <c r="C343" t="s">
        <v>565</v>
      </c>
      <c r="D343" t="s">
        <v>413</v>
      </c>
      <c r="E343">
        <v>30</v>
      </c>
      <c r="F343" t="s">
        <v>718</v>
      </c>
      <c r="G343" t="s">
        <v>695</v>
      </c>
      <c r="H343" t="s">
        <v>792</v>
      </c>
      <c r="I343" t="s">
        <v>659</v>
      </c>
    </row>
    <row r="344" spans="1:9">
      <c r="A344">
        <v>343</v>
      </c>
      <c r="B344" t="s">
        <v>559</v>
      </c>
      <c r="C344" t="s">
        <v>565</v>
      </c>
      <c r="D344" t="s">
        <v>414</v>
      </c>
      <c r="E344">
        <v>15</v>
      </c>
      <c r="F344" t="s">
        <v>718</v>
      </c>
      <c r="G344" t="s">
        <v>695</v>
      </c>
      <c r="H344" t="s">
        <v>792</v>
      </c>
      <c r="I344" t="s">
        <v>659</v>
      </c>
    </row>
    <row r="345" spans="1:9">
      <c r="A345">
        <v>344</v>
      </c>
      <c r="B345" t="s">
        <v>559</v>
      </c>
      <c r="C345" t="s">
        <v>565</v>
      </c>
      <c r="D345" t="s">
        <v>415</v>
      </c>
      <c r="E345">
        <v>8</v>
      </c>
      <c r="F345" t="s">
        <v>718</v>
      </c>
      <c r="G345" t="s">
        <v>695</v>
      </c>
      <c r="H345" t="s">
        <v>792</v>
      </c>
      <c r="I345" t="s">
        <v>659</v>
      </c>
    </row>
    <row r="346" spans="1:9">
      <c r="A346">
        <v>345</v>
      </c>
      <c r="B346" t="s">
        <v>559</v>
      </c>
      <c r="C346" t="s">
        <v>565</v>
      </c>
      <c r="D346" t="s">
        <v>204</v>
      </c>
      <c r="E346">
        <v>7</v>
      </c>
      <c r="F346" t="s">
        <v>718</v>
      </c>
      <c r="G346" t="s">
        <v>695</v>
      </c>
      <c r="H346" t="s">
        <v>792</v>
      </c>
      <c r="I346" t="s">
        <v>659</v>
      </c>
    </row>
    <row r="347" spans="1:9">
      <c r="A347">
        <v>346</v>
      </c>
      <c r="B347" t="s">
        <v>559</v>
      </c>
      <c r="C347" t="s">
        <v>565</v>
      </c>
      <c r="D347" t="s">
        <v>416</v>
      </c>
      <c r="E347">
        <v>5</v>
      </c>
      <c r="F347" t="s">
        <v>718</v>
      </c>
      <c r="G347" t="s">
        <v>695</v>
      </c>
      <c r="H347" t="s">
        <v>792</v>
      </c>
      <c r="I347" t="s">
        <v>659</v>
      </c>
    </row>
    <row r="348" spans="1:9">
      <c r="A348">
        <v>347</v>
      </c>
      <c r="B348" t="s">
        <v>23</v>
      </c>
      <c r="C348" t="s">
        <v>566</v>
      </c>
      <c r="D348" t="s">
        <v>104</v>
      </c>
      <c r="E348">
        <v>55</v>
      </c>
      <c r="F348" t="s">
        <v>713</v>
      </c>
      <c r="G348" t="s">
        <v>695</v>
      </c>
      <c r="H348" t="s">
        <v>714</v>
      </c>
      <c r="I348" t="s">
        <v>601</v>
      </c>
    </row>
    <row r="349" spans="1:9">
      <c r="A349">
        <v>348</v>
      </c>
      <c r="B349" t="s">
        <v>23</v>
      </c>
      <c r="C349" t="s">
        <v>566</v>
      </c>
      <c r="D349" t="s">
        <v>105</v>
      </c>
      <c r="E349">
        <v>15</v>
      </c>
      <c r="F349" t="s">
        <v>713</v>
      </c>
      <c r="G349" t="s">
        <v>695</v>
      </c>
      <c r="H349" t="s">
        <v>714</v>
      </c>
      <c r="I349" t="s">
        <v>601</v>
      </c>
    </row>
    <row r="350" spans="1:9">
      <c r="A350">
        <v>349</v>
      </c>
      <c r="B350" t="s">
        <v>23</v>
      </c>
      <c r="C350" t="s">
        <v>566</v>
      </c>
      <c r="D350" t="s">
        <v>417</v>
      </c>
      <c r="E350">
        <v>10</v>
      </c>
      <c r="F350" t="s">
        <v>713</v>
      </c>
      <c r="G350" t="s">
        <v>695</v>
      </c>
      <c r="H350" t="s">
        <v>714</v>
      </c>
      <c r="I350" t="s">
        <v>601</v>
      </c>
    </row>
    <row r="351" spans="1:9">
      <c r="A351">
        <v>350</v>
      </c>
      <c r="B351" t="s">
        <v>23</v>
      </c>
      <c r="C351" t="s">
        <v>566</v>
      </c>
      <c r="D351" t="s">
        <v>97</v>
      </c>
      <c r="E351">
        <v>10</v>
      </c>
      <c r="F351" t="s">
        <v>713</v>
      </c>
      <c r="G351" t="s">
        <v>695</v>
      </c>
      <c r="H351" t="s">
        <v>793</v>
      </c>
      <c r="I351" t="s">
        <v>660</v>
      </c>
    </row>
    <row r="352" spans="1:9">
      <c r="A352">
        <v>351</v>
      </c>
      <c r="B352" t="s">
        <v>23</v>
      </c>
      <c r="C352" t="s">
        <v>566</v>
      </c>
      <c r="D352" t="s">
        <v>106</v>
      </c>
      <c r="E352">
        <v>5</v>
      </c>
      <c r="F352" t="s">
        <v>713</v>
      </c>
      <c r="G352" t="s">
        <v>695</v>
      </c>
      <c r="H352" t="s">
        <v>714</v>
      </c>
      <c r="I352" t="s">
        <v>601</v>
      </c>
    </row>
    <row r="353" spans="1:9">
      <c r="A353">
        <v>352</v>
      </c>
      <c r="B353" t="s">
        <v>23</v>
      </c>
      <c r="C353" t="s">
        <v>566</v>
      </c>
      <c r="D353" t="s">
        <v>372</v>
      </c>
      <c r="E353">
        <v>5</v>
      </c>
      <c r="F353" t="s">
        <v>713</v>
      </c>
      <c r="G353" t="s">
        <v>695</v>
      </c>
      <c r="H353" t="s">
        <v>793</v>
      </c>
      <c r="I353" t="s">
        <v>660</v>
      </c>
    </row>
    <row r="354" spans="1:9">
      <c r="A354">
        <v>353</v>
      </c>
      <c r="B354" t="s">
        <v>23</v>
      </c>
      <c r="C354" t="s">
        <v>567</v>
      </c>
      <c r="D354" t="s">
        <v>107</v>
      </c>
      <c r="E354">
        <v>45</v>
      </c>
      <c r="F354" t="s">
        <v>713</v>
      </c>
      <c r="G354" t="s">
        <v>695</v>
      </c>
      <c r="H354" t="s">
        <v>714</v>
      </c>
      <c r="I354" t="s">
        <v>601</v>
      </c>
    </row>
    <row r="355" spans="1:9">
      <c r="A355">
        <v>354</v>
      </c>
      <c r="B355" t="s">
        <v>23</v>
      </c>
      <c r="C355" t="s">
        <v>567</v>
      </c>
      <c r="D355" t="s">
        <v>98</v>
      </c>
      <c r="E355">
        <v>15</v>
      </c>
      <c r="F355" t="s">
        <v>713</v>
      </c>
      <c r="G355" t="s">
        <v>695</v>
      </c>
      <c r="H355" t="s">
        <v>714</v>
      </c>
      <c r="I355" t="s">
        <v>601</v>
      </c>
    </row>
    <row r="356" spans="1:9">
      <c r="A356">
        <v>355</v>
      </c>
      <c r="B356" t="s">
        <v>23</v>
      </c>
      <c r="C356" t="s">
        <v>567</v>
      </c>
      <c r="D356" t="s">
        <v>99</v>
      </c>
      <c r="E356">
        <v>15</v>
      </c>
      <c r="F356" t="s">
        <v>713</v>
      </c>
      <c r="G356" t="s">
        <v>695</v>
      </c>
      <c r="H356" t="s">
        <v>793</v>
      </c>
      <c r="I356" t="s">
        <v>660</v>
      </c>
    </row>
    <row r="357" spans="1:9">
      <c r="A357">
        <v>356</v>
      </c>
      <c r="B357" t="s">
        <v>23</v>
      </c>
      <c r="C357" t="s">
        <v>567</v>
      </c>
      <c r="D357" t="s">
        <v>108</v>
      </c>
      <c r="E357">
        <v>8</v>
      </c>
      <c r="F357" t="s">
        <v>713</v>
      </c>
      <c r="G357" t="s">
        <v>695</v>
      </c>
      <c r="H357" t="s">
        <v>714</v>
      </c>
      <c r="I357" t="s">
        <v>601</v>
      </c>
    </row>
    <row r="358" spans="1:9">
      <c r="A358">
        <v>357</v>
      </c>
      <c r="B358" t="s">
        <v>23</v>
      </c>
      <c r="C358" t="s">
        <v>567</v>
      </c>
      <c r="D358" t="s">
        <v>418</v>
      </c>
      <c r="E358">
        <v>7</v>
      </c>
      <c r="F358" t="s">
        <v>713</v>
      </c>
      <c r="G358" t="s">
        <v>695</v>
      </c>
      <c r="H358" t="s">
        <v>793</v>
      </c>
      <c r="I358" t="s">
        <v>660</v>
      </c>
    </row>
    <row r="359" spans="1:9">
      <c r="A359">
        <v>358</v>
      </c>
      <c r="B359" t="s">
        <v>23</v>
      </c>
      <c r="C359" t="s">
        <v>567</v>
      </c>
      <c r="D359" t="s">
        <v>419</v>
      </c>
      <c r="E359">
        <v>5</v>
      </c>
      <c r="F359" t="s">
        <v>713</v>
      </c>
      <c r="G359" t="s">
        <v>695</v>
      </c>
      <c r="H359" t="s">
        <v>793</v>
      </c>
      <c r="I359" t="s">
        <v>660</v>
      </c>
    </row>
    <row r="360" spans="1:9">
      <c r="A360">
        <v>359</v>
      </c>
      <c r="B360" t="s">
        <v>23</v>
      </c>
      <c r="C360" t="s">
        <v>567</v>
      </c>
      <c r="D360" t="s">
        <v>420</v>
      </c>
      <c r="E360">
        <v>5</v>
      </c>
      <c r="F360" t="s">
        <v>713</v>
      </c>
      <c r="G360" t="s">
        <v>695</v>
      </c>
      <c r="H360" t="s">
        <v>793</v>
      </c>
      <c r="I360" t="s">
        <v>660</v>
      </c>
    </row>
    <row r="361" spans="1:9">
      <c r="A361">
        <v>360</v>
      </c>
      <c r="B361" t="s">
        <v>23</v>
      </c>
      <c r="C361" t="s">
        <v>568</v>
      </c>
      <c r="D361" t="s">
        <v>109</v>
      </c>
      <c r="E361">
        <v>55</v>
      </c>
      <c r="F361" t="s">
        <v>713</v>
      </c>
      <c r="G361" t="s">
        <v>695</v>
      </c>
      <c r="H361" t="s">
        <v>714</v>
      </c>
      <c r="I361" t="s">
        <v>601</v>
      </c>
    </row>
    <row r="362" spans="1:9">
      <c r="A362">
        <v>361</v>
      </c>
      <c r="B362" t="s">
        <v>23</v>
      </c>
      <c r="C362" t="s">
        <v>568</v>
      </c>
      <c r="D362" t="s">
        <v>421</v>
      </c>
      <c r="E362">
        <v>15</v>
      </c>
      <c r="F362" t="s">
        <v>713</v>
      </c>
      <c r="G362" t="s">
        <v>695</v>
      </c>
      <c r="H362" t="s">
        <v>793</v>
      </c>
      <c r="I362" t="s">
        <v>660</v>
      </c>
    </row>
    <row r="363" spans="1:9">
      <c r="A363">
        <v>362</v>
      </c>
      <c r="B363" t="s">
        <v>23</v>
      </c>
      <c r="C363" t="s">
        <v>568</v>
      </c>
      <c r="D363" t="s">
        <v>100</v>
      </c>
      <c r="E363">
        <v>15</v>
      </c>
      <c r="F363" t="s">
        <v>713</v>
      </c>
      <c r="G363" t="s">
        <v>695</v>
      </c>
      <c r="H363" t="s">
        <v>793</v>
      </c>
      <c r="I363" t="s">
        <v>660</v>
      </c>
    </row>
    <row r="364" spans="1:9">
      <c r="A364">
        <v>363</v>
      </c>
      <c r="B364" t="s">
        <v>23</v>
      </c>
      <c r="C364" t="s">
        <v>568</v>
      </c>
      <c r="D364" t="s">
        <v>110</v>
      </c>
      <c r="E364">
        <v>5</v>
      </c>
      <c r="F364" t="s">
        <v>713</v>
      </c>
      <c r="G364" t="s">
        <v>695</v>
      </c>
      <c r="H364" t="s">
        <v>714</v>
      </c>
      <c r="I364" t="s">
        <v>601</v>
      </c>
    </row>
    <row r="365" spans="1:9">
      <c r="A365">
        <v>364</v>
      </c>
      <c r="B365" t="s">
        <v>23</v>
      </c>
      <c r="C365" t="s">
        <v>568</v>
      </c>
      <c r="D365" t="s">
        <v>422</v>
      </c>
      <c r="E365">
        <v>5</v>
      </c>
      <c r="F365" t="s">
        <v>713</v>
      </c>
      <c r="G365" t="s">
        <v>695</v>
      </c>
      <c r="H365" t="s">
        <v>793</v>
      </c>
      <c r="I365" t="s">
        <v>660</v>
      </c>
    </row>
    <row r="366" spans="1:9">
      <c r="A366">
        <v>365</v>
      </c>
      <c r="B366" t="s">
        <v>23</v>
      </c>
      <c r="C366" t="s">
        <v>568</v>
      </c>
      <c r="D366" t="s">
        <v>423</v>
      </c>
      <c r="E366">
        <v>3</v>
      </c>
      <c r="F366" t="s">
        <v>713</v>
      </c>
      <c r="G366" t="s">
        <v>695</v>
      </c>
      <c r="H366" t="s">
        <v>793</v>
      </c>
      <c r="I366" t="s">
        <v>660</v>
      </c>
    </row>
    <row r="367" spans="1:9">
      <c r="A367">
        <v>366</v>
      </c>
      <c r="B367" t="s">
        <v>23</v>
      </c>
      <c r="C367" t="s">
        <v>568</v>
      </c>
      <c r="D367" t="s">
        <v>424</v>
      </c>
      <c r="E367">
        <v>2</v>
      </c>
      <c r="F367" t="s">
        <v>713</v>
      </c>
      <c r="G367" t="s">
        <v>695</v>
      </c>
      <c r="H367" t="s">
        <v>793</v>
      </c>
      <c r="I367" t="s">
        <v>660</v>
      </c>
    </row>
    <row r="368" spans="1:9">
      <c r="A368">
        <v>367</v>
      </c>
      <c r="B368" t="s">
        <v>23</v>
      </c>
      <c r="C368" t="s">
        <v>569</v>
      </c>
      <c r="D368" t="s">
        <v>111</v>
      </c>
      <c r="E368">
        <v>50</v>
      </c>
      <c r="F368" t="s">
        <v>713</v>
      </c>
      <c r="G368" t="s">
        <v>695</v>
      </c>
      <c r="H368" t="s">
        <v>714</v>
      </c>
      <c r="I368" t="s">
        <v>601</v>
      </c>
    </row>
    <row r="369" spans="1:9">
      <c r="A369">
        <v>368</v>
      </c>
      <c r="B369" t="s">
        <v>23</v>
      </c>
      <c r="C369" t="s">
        <v>569</v>
      </c>
      <c r="D369" t="s">
        <v>112</v>
      </c>
      <c r="E369">
        <v>15</v>
      </c>
      <c r="F369" t="s">
        <v>713</v>
      </c>
      <c r="G369" t="s">
        <v>695</v>
      </c>
      <c r="H369" t="s">
        <v>793</v>
      </c>
      <c r="I369" t="s">
        <v>660</v>
      </c>
    </row>
    <row r="370" spans="1:9">
      <c r="A370">
        <v>369</v>
      </c>
      <c r="B370" t="s">
        <v>23</v>
      </c>
      <c r="C370" t="s">
        <v>569</v>
      </c>
      <c r="D370" t="s">
        <v>425</v>
      </c>
      <c r="E370">
        <v>15</v>
      </c>
      <c r="F370" t="s">
        <v>713</v>
      </c>
      <c r="G370" t="s">
        <v>695</v>
      </c>
      <c r="H370" t="s">
        <v>714</v>
      </c>
      <c r="I370" t="s">
        <v>601</v>
      </c>
    </row>
    <row r="371" spans="1:9">
      <c r="A371">
        <v>370</v>
      </c>
      <c r="B371" t="s">
        <v>23</v>
      </c>
      <c r="C371" t="s">
        <v>569</v>
      </c>
      <c r="D371" t="s">
        <v>101</v>
      </c>
      <c r="E371">
        <v>10</v>
      </c>
      <c r="F371" t="s">
        <v>713</v>
      </c>
      <c r="G371" t="s">
        <v>695</v>
      </c>
      <c r="H371" t="s">
        <v>793</v>
      </c>
      <c r="I371" t="s">
        <v>660</v>
      </c>
    </row>
    <row r="372" spans="1:9">
      <c r="A372">
        <v>371</v>
      </c>
      <c r="B372" t="s">
        <v>23</v>
      </c>
      <c r="C372" t="s">
        <v>569</v>
      </c>
      <c r="D372" t="s">
        <v>426</v>
      </c>
      <c r="E372">
        <v>5</v>
      </c>
      <c r="F372" t="s">
        <v>713</v>
      </c>
      <c r="G372" t="s">
        <v>695</v>
      </c>
      <c r="H372" t="s">
        <v>793</v>
      </c>
      <c r="I372" t="s">
        <v>660</v>
      </c>
    </row>
    <row r="373" spans="1:9">
      <c r="A373">
        <v>372</v>
      </c>
      <c r="B373" t="s">
        <v>23</v>
      </c>
      <c r="C373" t="s">
        <v>569</v>
      </c>
      <c r="D373" t="s">
        <v>427</v>
      </c>
      <c r="E373">
        <v>5</v>
      </c>
      <c r="F373" t="s">
        <v>713</v>
      </c>
      <c r="G373" t="s">
        <v>695</v>
      </c>
      <c r="H373" t="s">
        <v>793</v>
      </c>
      <c r="I373" t="s">
        <v>660</v>
      </c>
    </row>
    <row r="374" spans="1:9">
      <c r="A374">
        <v>373</v>
      </c>
      <c r="B374" t="s">
        <v>23</v>
      </c>
      <c r="C374" t="s">
        <v>570</v>
      </c>
      <c r="D374" t="s">
        <v>113</v>
      </c>
      <c r="E374">
        <v>55</v>
      </c>
      <c r="F374" t="s">
        <v>713</v>
      </c>
      <c r="G374" t="s">
        <v>695</v>
      </c>
      <c r="H374" t="s">
        <v>714</v>
      </c>
      <c r="I374" t="s">
        <v>601</v>
      </c>
    </row>
    <row r="375" spans="1:9">
      <c r="A375">
        <v>374</v>
      </c>
      <c r="B375" t="s">
        <v>23</v>
      </c>
      <c r="C375" t="s">
        <v>570</v>
      </c>
      <c r="D375" t="s">
        <v>114</v>
      </c>
      <c r="E375">
        <v>15</v>
      </c>
      <c r="F375" t="s">
        <v>713</v>
      </c>
      <c r="G375" t="s">
        <v>695</v>
      </c>
      <c r="H375" t="s">
        <v>714</v>
      </c>
      <c r="I375" t="s">
        <v>601</v>
      </c>
    </row>
    <row r="376" spans="1:9">
      <c r="A376">
        <v>375</v>
      </c>
      <c r="B376" t="s">
        <v>23</v>
      </c>
      <c r="C376" t="s">
        <v>570</v>
      </c>
      <c r="D376" t="s">
        <v>102</v>
      </c>
      <c r="E376">
        <v>10</v>
      </c>
      <c r="F376" t="s">
        <v>713</v>
      </c>
      <c r="G376" t="s">
        <v>695</v>
      </c>
      <c r="H376" t="s">
        <v>714</v>
      </c>
      <c r="I376" t="s">
        <v>601</v>
      </c>
    </row>
    <row r="377" spans="1:9">
      <c r="A377">
        <v>376</v>
      </c>
      <c r="B377" t="s">
        <v>23</v>
      </c>
      <c r="C377" t="s">
        <v>570</v>
      </c>
      <c r="D377" t="s">
        <v>97</v>
      </c>
      <c r="E377">
        <v>10</v>
      </c>
      <c r="F377" t="s">
        <v>713</v>
      </c>
      <c r="G377" t="s">
        <v>695</v>
      </c>
      <c r="H377" t="s">
        <v>793</v>
      </c>
      <c r="I377" t="s">
        <v>660</v>
      </c>
    </row>
    <row r="378" spans="1:9">
      <c r="A378">
        <v>377</v>
      </c>
      <c r="B378" t="s">
        <v>23</v>
      </c>
      <c r="C378" t="s">
        <v>570</v>
      </c>
      <c r="D378" t="s">
        <v>115</v>
      </c>
      <c r="E378">
        <v>5</v>
      </c>
      <c r="F378" t="s">
        <v>713</v>
      </c>
      <c r="G378" t="s">
        <v>695</v>
      </c>
      <c r="H378" t="s">
        <v>793</v>
      </c>
      <c r="I378" t="s">
        <v>660</v>
      </c>
    </row>
    <row r="379" spans="1:9">
      <c r="A379">
        <v>378</v>
      </c>
      <c r="B379" t="s">
        <v>23</v>
      </c>
      <c r="C379" t="s">
        <v>570</v>
      </c>
      <c r="D379" t="s">
        <v>427</v>
      </c>
      <c r="E379">
        <v>5</v>
      </c>
      <c r="F379" t="s">
        <v>713</v>
      </c>
      <c r="G379" t="s">
        <v>695</v>
      </c>
      <c r="H379" t="s">
        <v>793</v>
      </c>
      <c r="I379" t="s">
        <v>660</v>
      </c>
    </row>
    <row r="380" spans="1:9">
      <c r="A380">
        <v>379</v>
      </c>
      <c r="B380" t="s">
        <v>571</v>
      </c>
      <c r="C380" t="s">
        <v>572</v>
      </c>
      <c r="D380" t="s">
        <v>428</v>
      </c>
      <c r="E380">
        <v>30</v>
      </c>
      <c r="F380" t="s">
        <v>794</v>
      </c>
      <c r="G380" t="s">
        <v>495</v>
      </c>
      <c r="H380" t="s">
        <v>795</v>
      </c>
      <c r="I380" t="s">
        <v>661</v>
      </c>
    </row>
    <row r="381" spans="1:9">
      <c r="A381">
        <v>380</v>
      </c>
      <c r="B381" t="s">
        <v>571</v>
      </c>
      <c r="C381" t="s">
        <v>572</v>
      </c>
      <c r="D381" t="s">
        <v>429</v>
      </c>
      <c r="E381">
        <v>25</v>
      </c>
      <c r="F381" t="s">
        <v>794</v>
      </c>
      <c r="G381" t="s">
        <v>495</v>
      </c>
      <c r="H381" t="s">
        <v>795</v>
      </c>
      <c r="I381" t="s">
        <v>661</v>
      </c>
    </row>
    <row r="382" spans="1:9">
      <c r="A382">
        <v>381</v>
      </c>
      <c r="B382" t="s">
        <v>571</v>
      </c>
      <c r="C382" t="s">
        <v>572</v>
      </c>
      <c r="D382" t="s">
        <v>430</v>
      </c>
      <c r="E382">
        <v>15</v>
      </c>
      <c r="F382" t="s">
        <v>794</v>
      </c>
      <c r="G382" t="s">
        <v>495</v>
      </c>
      <c r="H382" t="s">
        <v>795</v>
      </c>
      <c r="I382" t="s">
        <v>661</v>
      </c>
    </row>
    <row r="383" spans="1:9">
      <c r="A383">
        <v>382</v>
      </c>
      <c r="B383" t="s">
        <v>571</v>
      </c>
      <c r="C383" t="s">
        <v>572</v>
      </c>
      <c r="D383" t="s">
        <v>431</v>
      </c>
      <c r="E383">
        <v>10</v>
      </c>
      <c r="F383" t="s">
        <v>794</v>
      </c>
      <c r="G383" t="s">
        <v>495</v>
      </c>
      <c r="H383" t="s">
        <v>795</v>
      </c>
      <c r="I383" t="s">
        <v>661</v>
      </c>
    </row>
    <row r="384" spans="1:9">
      <c r="A384">
        <v>383</v>
      </c>
      <c r="B384" t="s">
        <v>571</v>
      </c>
      <c r="C384" t="s">
        <v>572</v>
      </c>
      <c r="D384" t="s">
        <v>432</v>
      </c>
      <c r="E384">
        <v>15</v>
      </c>
      <c r="F384" t="s">
        <v>790</v>
      </c>
      <c r="G384" t="s">
        <v>695</v>
      </c>
      <c r="H384" t="s">
        <v>714</v>
      </c>
      <c r="I384" t="s">
        <v>657</v>
      </c>
    </row>
    <row r="385" spans="1:9">
      <c r="A385">
        <v>384</v>
      </c>
      <c r="B385" t="s">
        <v>571</v>
      </c>
      <c r="C385" t="s">
        <v>572</v>
      </c>
      <c r="D385" t="s">
        <v>433</v>
      </c>
      <c r="E385">
        <v>5</v>
      </c>
      <c r="F385" t="s">
        <v>701</v>
      </c>
      <c r="G385" t="s">
        <v>796</v>
      </c>
      <c r="H385" t="s">
        <v>797</v>
      </c>
      <c r="I385" t="s">
        <v>662</v>
      </c>
    </row>
    <row r="386" spans="1:9">
      <c r="A386">
        <v>385</v>
      </c>
      <c r="B386" t="s">
        <v>571</v>
      </c>
      <c r="C386" t="s">
        <v>573</v>
      </c>
      <c r="D386" t="s">
        <v>434</v>
      </c>
      <c r="E386">
        <v>55</v>
      </c>
      <c r="F386" t="s">
        <v>794</v>
      </c>
      <c r="G386" t="s">
        <v>495</v>
      </c>
      <c r="H386" t="s">
        <v>795</v>
      </c>
      <c r="I386" t="s">
        <v>661</v>
      </c>
    </row>
    <row r="387" spans="1:9">
      <c r="A387">
        <v>386</v>
      </c>
      <c r="B387" t="s">
        <v>571</v>
      </c>
      <c r="C387" t="s">
        <v>573</v>
      </c>
      <c r="D387" t="s">
        <v>435</v>
      </c>
      <c r="E387">
        <v>15</v>
      </c>
      <c r="F387" t="s">
        <v>794</v>
      </c>
      <c r="G387" t="s">
        <v>495</v>
      </c>
      <c r="H387" t="s">
        <v>795</v>
      </c>
      <c r="I387" t="s">
        <v>661</v>
      </c>
    </row>
    <row r="388" spans="1:9">
      <c r="A388">
        <v>387</v>
      </c>
      <c r="B388" t="s">
        <v>571</v>
      </c>
      <c r="C388" t="s">
        <v>573</v>
      </c>
      <c r="D388" t="s">
        <v>431</v>
      </c>
      <c r="E388">
        <v>10</v>
      </c>
      <c r="F388" t="s">
        <v>794</v>
      </c>
      <c r="G388" t="s">
        <v>495</v>
      </c>
      <c r="H388" t="s">
        <v>795</v>
      </c>
      <c r="I388" t="s">
        <v>661</v>
      </c>
    </row>
    <row r="389" spans="1:9">
      <c r="A389">
        <v>388</v>
      </c>
      <c r="B389" t="s">
        <v>571</v>
      </c>
      <c r="C389" t="s">
        <v>573</v>
      </c>
      <c r="D389" t="s">
        <v>436</v>
      </c>
      <c r="E389">
        <v>10</v>
      </c>
      <c r="F389" t="s">
        <v>794</v>
      </c>
      <c r="G389" t="s">
        <v>495</v>
      </c>
      <c r="H389" t="s">
        <v>798</v>
      </c>
      <c r="I389" t="s">
        <v>663</v>
      </c>
    </row>
    <row r="390" spans="1:9">
      <c r="A390">
        <v>389</v>
      </c>
      <c r="B390" t="s">
        <v>571</v>
      </c>
      <c r="C390" t="s">
        <v>573</v>
      </c>
      <c r="D390" t="s">
        <v>437</v>
      </c>
      <c r="E390">
        <v>5</v>
      </c>
      <c r="F390" t="s">
        <v>794</v>
      </c>
      <c r="G390" t="s">
        <v>495</v>
      </c>
      <c r="H390" t="s">
        <v>798</v>
      </c>
      <c r="I390" t="s">
        <v>663</v>
      </c>
    </row>
    <row r="391" spans="1:9">
      <c r="A391">
        <v>390</v>
      </c>
      <c r="B391" t="s">
        <v>571</v>
      </c>
      <c r="C391" t="s">
        <v>573</v>
      </c>
      <c r="D391" t="s">
        <v>269</v>
      </c>
      <c r="E391">
        <v>5</v>
      </c>
      <c r="F391" t="s">
        <v>701</v>
      </c>
      <c r="G391" t="s">
        <v>796</v>
      </c>
      <c r="H391" t="s">
        <v>797</v>
      </c>
      <c r="I391" t="s">
        <v>662</v>
      </c>
    </row>
    <row r="392" spans="1:9">
      <c r="A392">
        <v>391</v>
      </c>
      <c r="B392" t="s">
        <v>571</v>
      </c>
      <c r="C392" t="s">
        <v>574</v>
      </c>
      <c r="D392" t="s">
        <v>438</v>
      </c>
      <c r="E392">
        <v>65</v>
      </c>
      <c r="F392" t="s">
        <v>794</v>
      </c>
      <c r="G392" t="s">
        <v>495</v>
      </c>
      <c r="H392" t="s">
        <v>795</v>
      </c>
      <c r="I392" t="s">
        <v>661</v>
      </c>
    </row>
    <row r="393" spans="1:9">
      <c r="A393">
        <v>392</v>
      </c>
      <c r="B393" t="s">
        <v>571</v>
      </c>
      <c r="C393" t="s">
        <v>574</v>
      </c>
      <c r="D393" t="s">
        <v>436</v>
      </c>
      <c r="E393">
        <v>12</v>
      </c>
      <c r="F393" t="s">
        <v>794</v>
      </c>
      <c r="G393" t="s">
        <v>495</v>
      </c>
      <c r="H393" t="s">
        <v>798</v>
      </c>
      <c r="I393" t="s">
        <v>663</v>
      </c>
    </row>
    <row r="394" spans="1:9">
      <c r="A394">
        <v>393</v>
      </c>
      <c r="B394" t="s">
        <v>571</v>
      </c>
      <c r="C394" t="s">
        <v>574</v>
      </c>
      <c r="D394" t="s">
        <v>439</v>
      </c>
      <c r="E394">
        <v>8</v>
      </c>
      <c r="F394" t="s">
        <v>794</v>
      </c>
      <c r="G394" t="s">
        <v>495</v>
      </c>
      <c r="H394" t="s">
        <v>798</v>
      </c>
      <c r="I394" t="s">
        <v>663</v>
      </c>
    </row>
    <row r="395" spans="1:9">
      <c r="A395">
        <v>394</v>
      </c>
      <c r="B395" t="s">
        <v>571</v>
      </c>
      <c r="C395" t="s">
        <v>574</v>
      </c>
      <c r="D395" t="s">
        <v>440</v>
      </c>
      <c r="E395">
        <v>5</v>
      </c>
      <c r="F395" t="s">
        <v>794</v>
      </c>
      <c r="G395" t="s">
        <v>495</v>
      </c>
      <c r="H395" t="s">
        <v>798</v>
      </c>
      <c r="I395" t="s">
        <v>663</v>
      </c>
    </row>
    <row r="396" spans="1:9">
      <c r="A396">
        <v>395</v>
      </c>
      <c r="B396" t="s">
        <v>571</v>
      </c>
      <c r="C396" t="s">
        <v>574</v>
      </c>
      <c r="D396" t="s">
        <v>441</v>
      </c>
      <c r="E396">
        <v>5</v>
      </c>
      <c r="F396" t="s">
        <v>790</v>
      </c>
      <c r="G396" t="s">
        <v>695</v>
      </c>
      <c r="H396" t="s">
        <v>714</v>
      </c>
      <c r="I396" t="s">
        <v>657</v>
      </c>
    </row>
    <row r="397" spans="1:9">
      <c r="A397">
        <v>396</v>
      </c>
      <c r="B397" t="s">
        <v>571</v>
      </c>
      <c r="C397" t="s">
        <v>574</v>
      </c>
      <c r="D397" t="s">
        <v>269</v>
      </c>
      <c r="E397">
        <v>5</v>
      </c>
      <c r="F397" t="s">
        <v>701</v>
      </c>
      <c r="G397" t="s">
        <v>796</v>
      </c>
      <c r="H397" t="s">
        <v>797</v>
      </c>
      <c r="I397" t="s">
        <v>662</v>
      </c>
    </row>
    <row r="398" spans="1:9">
      <c r="A398">
        <v>397</v>
      </c>
      <c r="B398" t="s">
        <v>571</v>
      </c>
      <c r="C398" t="s">
        <v>575</v>
      </c>
      <c r="D398" t="s">
        <v>438</v>
      </c>
      <c r="E398">
        <v>60</v>
      </c>
      <c r="F398" t="s">
        <v>794</v>
      </c>
      <c r="G398" t="s">
        <v>495</v>
      </c>
      <c r="H398" t="s">
        <v>795</v>
      </c>
      <c r="I398" t="s">
        <v>661</v>
      </c>
    </row>
    <row r="399" spans="1:9">
      <c r="A399">
        <v>398</v>
      </c>
      <c r="B399" t="s">
        <v>571</v>
      </c>
      <c r="C399" t="s">
        <v>575</v>
      </c>
      <c r="D399" t="s">
        <v>442</v>
      </c>
      <c r="E399">
        <v>12</v>
      </c>
      <c r="F399" t="s">
        <v>794</v>
      </c>
      <c r="G399" t="s">
        <v>495</v>
      </c>
      <c r="H399" t="s">
        <v>798</v>
      </c>
      <c r="I399" t="s">
        <v>663</v>
      </c>
    </row>
    <row r="400" spans="1:9">
      <c r="A400">
        <v>399</v>
      </c>
      <c r="B400" t="s">
        <v>571</v>
      </c>
      <c r="C400" t="s">
        <v>575</v>
      </c>
      <c r="D400" t="s">
        <v>439</v>
      </c>
      <c r="E400">
        <v>8</v>
      </c>
      <c r="F400" t="s">
        <v>794</v>
      </c>
      <c r="G400" t="s">
        <v>495</v>
      </c>
      <c r="H400" t="s">
        <v>798</v>
      </c>
      <c r="I400" t="s">
        <v>663</v>
      </c>
    </row>
    <row r="401" spans="1:9">
      <c r="A401">
        <v>400</v>
      </c>
      <c r="B401" t="s">
        <v>571</v>
      </c>
      <c r="C401" t="s">
        <v>575</v>
      </c>
      <c r="D401" t="s">
        <v>443</v>
      </c>
      <c r="E401">
        <v>5</v>
      </c>
      <c r="F401" t="s">
        <v>794</v>
      </c>
      <c r="G401" t="s">
        <v>495</v>
      </c>
      <c r="H401" t="s">
        <v>798</v>
      </c>
      <c r="I401" t="s">
        <v>663</v>
      </c>
    </row>
    <row r="402" spans="1:9">
      <c r="A402">
        <v>401</v>
      </c>
      <c r="B402" t="s">
        <v>571</v>
      </c>
      <c r="C402" t="s">
        <v>575</v>
      </c>
      <c r="D402" t="s">
        <v>444</v>
      </c>
      <c r="E402">
        <v>8</v>
      </c>
      <c r="F402" t="s">
        <v>790</v>
      </c>
      <c r="G402" t="s">
        <v>695</v>
      </c>
      <c r="H402" t="s">
        <v>714</v>
      </c>
      <c r="I402" t="s">
        <v>657</v>
      </c>
    </row>
    <row r="403" spans="1:9">
      <c r="A403">
        <v>402</v>
      </c>
      <c r="B403" t="s">
        <v>571</v>
      </c>
      <c r="C403" t="s">
        <v>575</v>
      </c>
      <c r="D403" t="s">
        <v>445</v>
      </c>
      <c r="E403">
        <v>7</v>
      </c>
      <c r="F403" t="s">
        <v>701</v>
      </c>
      <c r="G403" t="s">
        <v>796</v>
      </c>
      <c r="H403" t="s">
        <v>797</v>
      </c>
      <c r="I403" t="s">
        <v>662</v>
      </c>
    </row>
    <row r="404" spans="1:9">
      <c r="A404">
        <v>403</v>
      </c>
      <c r="B404" t="s">
        <v>571</v>
      </c>
      <c r="C404" t="s">
        <v>576</v>
      </c>
      <c r="D404" t="s">
        <v>446</v>
      </c>
      <c r="E404">
        <v>55</v>
      </c>
      <c r="F404" t="s">
        <v>794</v>
      </c>
      <c r="G404" t="s">
        <v>695</v>
      </c>
      <c r="H404" t="s">
        <v>799</v>
      </c>
      <c r="I404" t="s">
        <v>664</v>
      </c>
    </row>
    <row r="405" spans="1:9">
      <c r="A405">
        <v>404</v>
      </c>
      <c r="B405" t="s">
        <v>571</v>
      </c>
      <c r="C405" t="s">
        <v>576</v>
      </c>
      <c r="D405" t="s">
        <v>447</v>
      </c>
      <c r="E405">
        <v>8</v>
      </c>
      <c r="F405" t="s">
        <v>794</v>
      </c>
      <c r="G405" t="s">
        <v>695</v>
      </c>
      <c r="H405" t="s">
        <v>799</v>
      </c>
      <c r="I405" t="s">
        <v>664</v>
      </c>
    </row>
    <row r="406" spans="1:9">
      <c r="A406">
        <v>405</v>
      </c>
      <c r="B406" t="s">
        <v>571</v>
      </c>
      <c r="C406" t="s">
        <v>576</v>
      </c>
      <c r="D406" t="s">
        <v>315</v>
      </c>
      <c r="E406">
        <v>12</v>
      </c>
      <c r="F406" t="s">
        <v>794</v>
      </c>
      <c r="G406" t="s">
        <v>695</v>
      </c>
      <c r="H406" t="s">
        <v>799</v>
      </c>
      <c r="I406" t="s">
        <v>664</v>
      </c>
    </row>
    <row r="407" spans="1:9">
      <c r="A407">
        <v>406</v>
      </c>
      <c r="B407" t="s">
        <v>571</v>
      </c>
      <c r="C407" t="s">
        <v>576</v>
      </c>
      <c r="D407" t="s">
        <v>448</v>
      </c>
      <c r="E407">
        <v>8</v>
      </c>
      <c r="F407" t="s">
        <v>794</v>
      </c>
      <c r="G407" t="s">
        <v>695</v>
      </c>
      <c r="H407" t="s">
        <v>799</v>
      </c>
      <c r="I407" t="s">
        <v>664</v>
      </c>
    </row>
    <row r="408" spans="1:9">
      <c r="A408">
        <v>407</v>
      </c>
      <c r="B408" t="s">
        <v>571</v>
      </c>
      <c r="C408" t="s">
        <v>576</v>
      </c>
      <c r="D408" t="s">
        <v>449</v>
      </c>
      <c r="E408">
        <v>5</v>
      </c>
      <c r="F408" t="s">
        <v>794</v>
      </c>
      <c r="G408" t="s">
        <v>695</v>
      </c>
      <c r="H408" t="s">
        <v>799</v>
      </c>
      <c r="I408" t="s">
        <v>664</v>
      </c>
    </row>
    <row r="409" spans="1:9">
      <c r="A409">
        <v>408</v>
      </c>
      <c r="B409" t="s">
        <v>571</v>
      </c>
      <c r="C409" t="s">
        <v>576</v>
      </c>
      <c r="D409" t="s">
        <v>372</v>
      </c>
      <c r="E409">
        <v>5</v>
      </c>
      <c r="F409" t="s">
        <v>794</v>
      </c>
      <c r="G409" t="s">
        <v>695</v>
      </c>
      <c r="H409" t="s">
        <v>799</v>
      </c>
      <c r="I409" t="s">
        <v>664</v>
      </c>
    </row>
    <row r="410" spans="1:9">
      <c r="A410">
        <v>409</v>
      </c>
      <c r="B410" t="s">
        <v>571</v>
      </c>
      <c r="C410" t="s">
        <v>576</v>
      </c>
      <c r="D410" t="s">
        <v>450</v>
      </c>
      <c r="E410">
        <v>7</v>
      </c>
      <c r="F410" t="s">
        <v>794</v>
      </c>
      <c r="G410" t="s">
        <v>695</v>
      </c>
      <c r="H410" t="s">
        <v>799</v>
      </c>
      <c r="I410" t="s">
        <v>664</v>
      </c>
    </row>
    <row r="411" spans="1:9">
      <c r="A411">
        <v>410</v>
      </c>
      <c r="B411" t="s">
        <v>577</v>
      </c>
      <c r="C411" t="s">
        <v>578</v>
      </c>
      <c r="D411" t="s">
        <v>451</v>
      </c>
      <c r="E411">
        <v>55</v>
      </c>
      <c r="F411" t="s">
        <v>706</v>
      </c>
      <c r="G411" t="s">
        <v>699</v>
      </c>
      <c r="H411" t="s">
        <v>800</v>
      </c>
      <c r="I411" t="s">
        <v>665</v>
      </c>
    </row>
    <row r="412" spans="1:9">
      <c r="A412">
        <v>411</v>
      </c>
      <c r="B412" t="s">
        <v>577</v>
      </c>
      <c r="C412" t="s">
        <v>578</v>
      </c>
      <c r="D412" t="s">
        <v>452</v>
      </c>
      <c r="E412">
        <v>25</v>
      </c>
      <c r="F412" t="s">
        <v>756</v>
      </c>
      <c r="G412" t="s">
        <v>695</v>
      </c>
      <c r="H412" t="s">
        <v>801</v>
      </c>
      <c r="I412" t="s">
        <v>666</v>
      </c>
    </row>
    <row r="413" spans="1:9">
      <c r="A413">
        <v>412</v>
      </c>
      <c r="B413" t="s">
        <v>577</v>
      </c>
      <c r="C413" t="s">
        <v>578</v>
      </c>
      <c r="D413" t="s">
        <v>168</v>
      </c>
      <c r="E413">
        <v>8</v>
      </c>
      <c r="F413" t="s">
        <v>701</v>
      </c>
      <c r="G413" t="s">
        <v>495</v>
      </c>
      <c r="H413" t="s">
        <v>802</v>
      </c>
      <c r="I413" t="s">
        <v>667</v>
      </c>
    </row>
    <row r="414" spans="1:9">
      <c r="A414">
        <v>413</v>
      </c>
      <c r="B414" t="s">
        <v>577</v>
      </c>
      <c r="C414" t="s">
        <v>578</v>
      </c>
      <c r="D414" t="s">
        <v>453</v>
      </c>
      <c r="E414">
        <v>4</v>
      </c>
      <c r="F414" t="s">
        <v>763</v>
      </c>
      <c r="G414" t="s">
        <v>699</v>
      </c>
      <c r="H414" t="s">
        <v>803</v>
      </c>
      <c r="I414" t="s">
        <v>668</v>
      </c>
    </row>
    <row r="415" spans="1:9">
      <c r="A415">
        <v>414</v>
      </c>
      <c r="B415" t="s">
        <v>577</v>
      </c>
      <c r="C415" t="s">
        <v>578</v>
      </c>
      <c r="D415" t="s">
        <v>454</v>
      </c>
      <c r="E415">
        <v>4</v>
      </c>
      <c r="F415" t="s">
        <v>710</v>
      </c>
      <c r="G415" t="s">
        <v>699</v>
      </c>
      <c r="H415" t="s">
        <v>804</v>
      </c>
      <c r="I415" t="s">
        <v>669</v>
      </c>
    </row>
    <row r="416" spans="1:9">
      <c r="A416">
        <v>415</v>
      </c>
      <c r="B416" t="s">
        <v>577</v>
      </c>
      <c r="C416" t="s">
        <v>578</v>
      </c>
      <c r="D416" t="s">
        <v>269</v>
      </c>
      <c r="E416">
        <v>4</v>
      </c>
      <c r="F416" t="s">
        <v>701</v>
      </c>
      <c r="G416" t="s">
        <v>796</v>
      </c>
      <c r="H416" t="s">
        <v>805</v>
      </c>
      <c r="I416" t="s">
        <v>670</v>
      </c>
    </row>
    <row r="417" spans="1:9">
      <c r="A417">
        <v>416</v>
      </c>
      <c r="B417" t="s">
        <v>577</v>
      </c>
      <c r="C417" t="s">
        <v>579</v>
      </c>
      <c r="D417" t="s">
        <v>451</v>
      </c>
      <c r="E417">
        <v>40</v>
      </c>
      <c r="F417" t="s">
        <v>706</v>
      </c>
      <c r="G417" t="s">
        <v>699</v>
      </c>
      <c r="H417" t="s">
        <v>800</v>
      </c>
      <c r="I417" t="s">
        <v>665</v>
      </c>
    </row>
    <row r="418" spans="1:9">
      <c r="A418">
        <v>417</v>
      </c>
      <c r="B418" t="s">
        <v>577</v>
      </c>
      <c r="C418" t="s">
        <v>579</v>
      </c>
      <c r="D418" t="s">
        <v>455</v>
      </c>
      <c r="E418">
        <v>35</v>
      </c>
      <c r="F418" t="s">
        <v>708</v>
      </c>
      <c r="G418" t="s">
        <v>695</v>
      </c>
      <c r="H418" t="s">
        <v>806</v>
      </c>
      <c r="I418" t="s">
        <v>671</v>
      </c>
    </row>
    <row r="419" spans="1:9">
      <c r="A419">
        <v>418</v>
      </c>
      <c r="B419" t="s">
        <v>577</v>
      </c>
      <c r="C419" t="s">
        <v>579</v>
      </c>
      <c r="D419" t="s">
        <v>167</v>
      </c>
      <c r="E419">
        <v>10</v>
      </c>
      <c r="F419" t="s">
        <v>708</v>
      </c>
      <c r="G419" t="s">
        <v>695</v>
      </c>
      <c r="H419" t="s">
        <v>806</v>
      </c>
      <c r="I419" t="s">
        <v>671</v>
      </c>
    </row>
    <row r="420" spans="1:9">
      <c r="A420">
        <v>419</v>
      </c>
      <c r="B420" t="s">
        <v>577</v>
      </c>
      <c r="C420" t="s">
        <v>579</v>
      </c>
      <c r="D420" t="s">
        <v>456</v>
      </c>
      <c r="E420">
        <v>6</v>
      </c>
      <c r="F420" t="s">
        <v>701</v>
      </c>
      <c r="G420" t="s">
        <v>495</v>
      </c>
      <c r="H420" t="s">
        <v>802</v>
      </c>
      <c r="I420" t="s">
        <v>667</v>
      </c>
    </row>
    <row r="421" spans="1:9">
      <c r="A421">
        <v>420</v>
      </c>
      <c r="B421" t="s">
        <v>577</v>
      </c>
      <c r="C421" t="s">
        <v>579</v>
      </c>
      <c r="D421" t="s">
        <v>240</v>
      </c>
      <c r="E421">
        <v>6</v>
      </c>
      <c r="F421" t="s">
        <v>701</v>
      </c>
      <c r="G421" t="s">
        <v>796</v>
      </c>
      <c r="H421" t="s">
        <v>805</v>
      </c>
      <c r="I421" t="s">
        <v>670</v>
      </c>
    </row>
    <row r="422" spans="1:9">
      <c r="A422">
        <v>421</v>
      </c>
      <c r="B422" t="s">
        <v>577</v>
      </c>
      <c r="C422" t="s">
        <v>579</v>
      </c>
      <c r="D422" t="s">
        <v>144</v>
      </c>
      <c r="E422">
        <v>3</v>
      </c>
      <c r="F422" t="s">
        <v>701</v>
      </c>
      <c r="G422" t="s">
        <v>495</v>
      </c>
      <c r="H422" t="s">
        <v>802</v>
      </c>
      <c r="I422" t="s">
        <v>667</v>
      </c>
    </row>
    <row r="423" spans="1:9">
      <c r="A423">
        <v>422</v>
      </c>
      <c r="B423" t="s">
        <v>577</v>
      </c>
      <c r="C423" t="s">
        <v>580</v>
      </c>
      <c r="D423" t="s">
        <v>438</v>
      </c>
      <c r="E423">
        <v>60</v>
      </c>
      <c r="F423" t="s">
        <v>794</v>
      </c>
      <c r="G423" t="s">
        <v>495</v>
      </c>
      <c r="H423" t="s">
        <v>795</v>
      </c>
      <c r="I423" t="s">
        <v>672</v>
      </c>
    </row>
    <row r="424" spans="1:9">
      <c r="A424">
        <v>423</v>
      </c>
      <c r="B424" t="s">
        <v>577</v>
      </c>
      <c r="C424" t="s">
        <v>580</v>
      </c>
      <c r="D424" t="s">
        <v>452</v>
      </c>
      <c r="E424">
        <v>20</v>
      </c>
      <c r="F424" t="s">
        <v>756</v>
      </c>
      <c r="G424" t="s">
        <v>695</v>
      </c>
      <c r="H424" t="s">
        <v>801</v>
      </c>
      <c r="I424" t="s">
        <v>666</v>
      </c>
    </row>
    <row r="425" spans="1:9">
      <c r="A425">
        <v>424</v>
      </c>
      <c r="B425" t="s">
        <v>577</v>
      </c>
      <c r="C425" t="s">
        <v>580</v>
      </c>
      <c r="D425" t="s">
        <v>457</v>
      </c>
      <c r="E425">
        <v>8</v>
      </c>
      <c r="F425" t="s">
        <v>794</v>
      </c>
      <c r="G425" t="s">
        <v>495</v>
      </c>
      <c r="H425" t="s">
        <v>795</v>
      </c>
      <c r="I425" t="s">
        <v>672</v>
      </c>
    </row>
    <row r="426" spans="1:9">
      <c r="A426">
        <v>425</v>
      </c>
      <c r="B426" t="s">
        <v>577</v>
      </c>
      <c r="C426" t="s">
        <v>580</v>
      </c>
      <c r="D426" t="s">
        <v>444</v>
      </c>
      <c r="E426">
        <v>7</v>
      </c>
      <c r="F426" t="s">
        <v>790</v>
      </c>
      <c r="G426" t="s">
        <v>695</v>
      </c>
      <c r="H426" t="s">
        <v>714</v>
      </c>
      <c r="I426" t="s">
        <v>657</v>
      </c>
    </row>
    <row r="427" spans="1:9">
      <c r="A427">
        <v>426</v>
      </c>
      <c r="B427" t="s">
        <v>577</v>
      </c>
      <c r="C427" t="s">
        <v>580</v>
      </c>
      <c r="D427" t="s">
        <v>269</v>
      </c>
      <c r="E427">
        <v>5</v>
      </c>
      <c r="F427" t="s">
        <v>701</v>
      </c>
      <c r="G427" t="s">
        <v>796</v>
      </c>
      <c r="H427" t="s">
        <v>805</v>
      </c>
      <c r="I427" t="s">
        <v>670</v>
      </c>
    </row>
    <row r="428" spans="1:9">
      <c r="A428">
        <v>427</v>
      </c>
      <c r="B428" t="s">
        <v>577</v>
      </c>
      <c r="C428" t="s">
        <v>581</v>
      </c>
      <c r="D428" t="s">
        <v>458</v>
      </c>
      <c r="E428">
        <v>50</v>
      </c>
      <c r="F428" t="s">
        <v>807</v>
      </c>
      <c r="G428" t="s">
        <v>695</v>
      </c>
      <c r="H428" t="s">
        <v>808</v>
      </c>
      <c r="I428" t="s">
        <v>673</v>
      </c>
    </row>
    <row r="429" spans="1:9">
      <c r="A429">
        <v>428</v>
      </c>
      <c r="B429" t="s">
        <v>577</v>
      </c>
      <c r="C429" t="s">
        <v>581</v>
      </c>
      <c r="D429" t="s">
        <v>193</v>
      </c>
      <c r="E429">
        <v>20</v>
      </c>
      <c r="F429" t="s">
        <v>710</v>
      </c>
      <c r="G429" t="s">
        <v>699</v>
      </c>
      <c r="H429" t="s">
        <v>804</v>
      </c>
      <c r="I429" t="s">
        <v>669</v>
      </c>
    </row>
    <row r="430" spans="1:9">
      <c r="A430">
        <v>429</v>
      </c>
      <c r="B430" t="s">
        <v>577</v>
      </c>
      <c r="C430" t="s">
        <v>581</v>
      </c>
      <c r="D430" t="s">
        <v>208</v>
      </c>
      <c r="E430">
        <v>18</v>
      </c>
      <c r="F430" t="s">
        <v>706</v>
      </c>
      <c r="G430" t="s">
        <v>699</v>
      </c>
      <c r="H430" t="s">
        <v>800</v>
      </c>
      <c r="I430" t="s">
        <v>665</v>
      </c>
    </row>
    <row r="431" spans="1:9">
      <c r="A431">
        <v>430</v>
      </c>
      <c r="B431" t="s">
        <v>577</v>
      </c>
      <c r="C431" t="s">
        <v>581</v>
      </c>
      <c r="D431" t="s">
        <v>422</v>
      </c>
      <c r="E431">
        <v>7</v>
      </c>
      <c r="F431" t="s">
        <v>731</v>
      </c>
      <c r="G431" t="s">
        <v>699</v>
      </c>
      <c r="H431" t="s">
        <v>809</v>
      </c>
      <c r="I431" t="s">
        <v>674</v>
      </c>
    </row>
    <row r="432" spans="1:9">
      <c r="A432">
        <v>431</v>
      </c>
      <c r="B432" t="s">
        <v>577</v>
      </c>
      <c r="C432" t="s">
        <v>581</v>
      </c>
      <c r="D432" t="s">
        <v>269</v>
      </c>
      <c r="E432">
        <v>5</v>
      </c>
      <c r="F432" t="s">
        <v>701</v>
      </c>
      <c r="G432" t="s">
        <v>796</v>
      </c>
      <c r="H432" t="s">
        <v>805</v>
      </c>
      <c r="I432" t="s">
        <v>670</v>
      </c>
    </row>
    <row r="433" spans="1:9">
      <c r="A433">
        <v>432</v>
      </c>
      <c r="B433" t="s">
        <v>577</v>
      </c>
      <c r="C433" t="s">
        <v>582</v>
      </c>
      <c r="D433" t="s">
        <v>459</v>
      </c>
      <c r="E433">
        <v>30</v>
      </c>
      <c r="F433" t="s">
        <v>706</v>
      </c>
      <c r="G433" t="s">
        <v>699</v>
      </c>
      <c r="H433" t="s">
        <v>800</v>
      </c>
      <c r="I433" t="s">
        <v>665</v>
      </c>
    </row>
    <row r="434" spans="1:9">
      <c r="A434">
        <v>433</v>
      </c>
      <c r="B434" t="s">
        <v>577</v>
      </c>
      <c r="C434" t="s">
        <v>582</v>
      </c>
      <c r="D434" t="s">
        <v>460</v>
      </c>
      <c r="E434">
        <v>20</v>
      </c>
      <c r="F434" t="s">
        <v>708</v>
      </c>
      <c r="G434" t="s">
        <v>695</v>
      </c>
      <c r="H434" t="s">
        <v>806</v>
      </c>
      <c r="I434" t="s">
        <v>671</v>
      </c>
    </row>
    <row r="435" spans="1:9">
      <c r="A435">
        <v>434</v>
      </c>
      <c r="B435" t="s">
        <v>577</v>
      </c>
      <c r="C435" t="s">
        <v>582</v>
      </c>
      <c r="D435" t="s">
        <v>461</v>
      </c>
      <c r="E435">
        <v>15</v>
      </c>
      <c r="F435" t="s">
        <v>794</v>
      </c>
      <c r="G435" t="s">
        <v>495</v>
      </c>
      <c r="H435" t="s">
        <v>795</v>
      </c>
      <c r="I435" t="s">
        <v>672</v>
      </c>
    </row>
    <row r="436" spans="1:9">
      <c r="A436">
        <v>435</v>
      </c>
      <c r="B436" t="s">
        <v>577</v>
      </c>
      <c r="C436" t="s">
        <v>582</v>
      </c>
      <c r="D436" t="s">
        <v>462</v>
      </c>
      <c r="E436">
        <v>10</v>
      </c>
      <c r="F436" t="s">
        <v>763</v>
      </c>
      <c r="G436" t="s">
        <v>699</v>
      </c>
      <c r="H436" t="s">
        <v>803</v>
      </c>
      <c r="I436" t="s">
        <v>668</v>
      </c>
    </row>
    <row r="437" spans="1:9">
      <c r="A437">
        <v>436</v>
      </c>
      <c r="B437" t="s">
        <v>577</v>
      </c>
      <c r="C437" t="s">
        <v>582</v>
      </c>
      <c r="D437" t="s">
        <v>463</v>
      </c>
      <c r="E437">
        <v>10</v>
      </c>
      <c r="F437" t="s">
        <v>758</v>
      </c>
      <c r="G437" t="s">
        <v>495</v>
      </c>
      <c r="H437" t="s">
        <v>779</v>
      </c>
      <c r="I437" t="s">
        <v>675</v>
      </c>
    </row>
    <row r="438" spans="1:9">
      <c r="A438">
        <v>437</v>
      </c>
      <c r="B438" t="s">
        <v>577</v>
      </c>
      <c r="C438" t="s">
        <v>582</v>
      </c>
      <c r="D438" t="s">
        <v>464</v>
      </c>
      <c r="E438">
        <v>10</v>
      </c>
      <c r="F438" t="s">
        <v>701</v>
      </c>
      <c r="G438" t="s">
        <v>495</v>
      </c>
      <c r="H438" t="s">
        <v>802</v>
      </c>
      <c r="I438" t="s">
        <v>667</v>
      </c>
    </row>
    <row r="439" spans="1:9">
      <c r="A439">
        <v>438</v>
      </c>
      <c r="B439" t="s">
        <v>577</v>
      </c>
      <c r="C439" t="s">
        <v>582</v>
      </c>
      <c r="D439" t="s">
        <v>269</v>
      </c>
      <c r="E439">
        <v>5</v>
      </c>
      <c r="F439" t="s">
        <v>701</v>
      </c>
      <c r="G439" t="s">
        <v>796</v>
      </c>
      <c r="H439" t="s">
        <v>805</v>
      </c>
      <c r="I439" t="s">
        <v>670</v>
      </c>
    </row>
    <row r="440" spans="1:9">
      <c r="A440">
        <v>439</v>
      </c>
      <c r="B440" t="s">
        <v>583</v>
      </c>
      <c r="C440" t="s">
        <v>584</v>
      </c>
      <c r="D440" t="s">
        <v>465</v>
      </c>
      <c r="E440">
        <v>45</v>
      </c>
      <c r="F440" t="s">
        <v>810</v>
      </c>
      <c r="G440" t="s">
        <v>695</v>
      </c>
      <c r="H440" t="s">
        <v>811</v>
      </c>
      <c r="I440" t="s">
        <v>676</v>
      </c>
    </row>
    <row r="441" spans="1:9">
      <c r="A441">
        <v>440</v>
      </c>
      <c r="B441" t="s">
        <v>583</v>
      </c>
      <c r="C441" t="s">
        <v>584</v>
      </c>
      <c r="D441" t="s">
        <v>466</v>
      </c>
      <c r="E441">
        <v>20</v>
      </c>
      <c r="F441" t="s">
        <v>812</v>
      </c>
      <c r="G441" t="s">
        <v>695</v>
      </c>
      <c r="H441" t="s">
        <v>813</v>
      </c>
      <c r="I441" t="s">
        <v>677</v>
      </c>
    </row>
    <row r="442" spans="1:9">
      <c r="A442">
        <v>441</v>
      </c>
      <c r="B442" t="s">
        <v>583</v>
      </c>
      <c r="C442" t="s">
        <v>584</v>
      </c>
      <c r="D442" t="s">
        <v>467</v>
      </c>
      <c r="E442">
        <v>10</v>
      </c>
      <c r="F442" t="s">
        <v>810</v>
      </c>
      <c r="G442" t="s">
        <v>695</v>
      </c>
      <c r="H442" t="s">
        <v>811</v>
      </c>
      <c r="I442" t="s">
        <v>676</v>
      </c>
    </row>
    <row r="443" spans="1:9">
      <c r="A443">
        <v>442</v>
      </c>
      <c r="B443" t="s">
        <v>583</v>
      </c>
      <c r="C443" t="s">
        <v>584</v>
      </c>
      <c r="D443" t="s">
        <v>468</v>
      </c>
      <c r="E443">
        <v>8</v>
      </c>
      <c r="F443" t="s">
        <v>810</v>
      </c>
      <c r="G443" t="s">
        <v>695</v>
      </c>
      <c r="H443" t="s">
        <v>811</v>
      </c>
      <c r="I443" t="s">
        <v>676</v>
      </c>
    </row>
    <row r="444" spans="1:9">
      <c r="A444">
        <v>443</v>
      </c>
      <c r="B444" t="s">
        <v>583</v>
      </c>
      <c r="C444" t="s">
        <v>584</v>
      </c>
      <c r="D444" t="s">
        <v>469</v>
      </c>
      <c r="E444">
        <v>8</v>
      </c>
      <c r="F444" t="s">
        <v>810</v>
      </c>
      <c r="G444" t="s">
        <v>695</v>
      </c>
      <c r="H444" t="s">
        <v>811</v>
      </c>
      <c r="I444" t="s">
        <v>676</v>
      </c>
    </row>
    <row r="445" spans="1:9">
      <c r="A445">
        <v>444</v>
      </c>
      <c r="B445" t="s">
        <v>583</v>
      </c>
      <c r="C445" t="s">
        <v>584</v>
      </c>
      <c r="D445" t="s">
        <v>470</v>
      </c>
      <c r="E445">
        <v>6</v>
      </c>
      <c r="F445" t="s">
        <v>810</v>
      </c>
      <c r="G445" t="s">
        <v>695</v>
      </c>
      <c r="H445" t="s">
        <v>811</v>
      </c>
      <c r="I445" t="s">
        <v>676</v>
      </c>
    </row>
    <row r="446" spans="1:9">
      <c r="A446">
        <v>445</v>
      </c>
      <c r="B446" t="s">
        <v>583</v>
      </c>
      <c r="C446" t="s">
        <v>584</v>
      </c>
      <c r="D446" t="s">
        <v>269</v>
      </c>
      <c r="E446">
        <v>3</v>
      </c>
      <c r="F446" t="s">
        <v>810</v>
      </c>
      <c r="G446" t="s">
        <v>695</v>
      </c>
      <c r="H446" t="s">
        <v>811</v>
      </c>
      <c r="I446" t="s">
        <v>676</v>
      </c>
    </row>
    <row r="447" spans="1:9">
      <c r="A447">
        <v>446</v>
      </c>
      <c r="B447" t="s">
        <v>583</v>
      </c>
      <c r="C447" t="s">
        <v>585</v>
      </c>
      <c r="D447" t="s">
        <v>465</v>
      </c>
      <c r="E447">
        <v>40</v>
      </c>
      <c r="F447" t="s">
        <v>810</v>
      </c>
      <c r="G447" t="s">
        <v>695</v>
      </c>
      <c r="H447" t="s">
        <v>814</v>
      </c>
      <c r="I447" t="s">
        <v>678</v>
      </c>
    </row>
    <row r="448" spans="1:9">
      <c r="A448">
        <v>447</v>
      </c>
      <c r="B448" t="s">
        <v>583</v>
      </c>
      <c r="C448" t="s">
        <v>585</v>
      </c>
      <c r="D448" t="s">
        <v>471</v>
      </c>
      <c r="E448">
        <v>15</v>
      </c>
      <c r="F448" t="s">
        <v>810</v>
      </c>
      <c r="G448" t="s">
        <v>695</v>
      </c>
      <c r="H448" t="s">
        <v>814</v>
      </c>
      <c r="I448" t="s">
        <v>678</v>
      </c>
    </row>
    <row r="449" spans="1:9">
      <c r="A449">
        <v>448</v>
      </c>
      <c r="B449" t="s">
        <v>583</v>
      </c>
      <c r="C449" t="s">
        <v>585</v>
      </c>
      <c r="D449" t="s">
        <v>466</v>
      </c>
      <c r="E449">
        <v>20</v>
      </c>
      <c r="F449" t="s">
        <v>812</v>
      </c>
      <c r="G449" t="s">
        <v>695</v>
      </c>
      <c r="H449" t="s">
        <v>815</v>
      </c>
      <c r="I449" t="s">
        <v>679</v>
      </c>
    </row>
    <row r="450" spans="1:9">
      <c r="A450">
        <v>449</v>
      </c>
      <c r="B450" t="s">
        <v>583</v>
      </c>
      <c r="C450" t="s">
        <v>585</v>
      </c>
      <c r="D450" t="s">
        <v>468</v>
      </c>
      <c r="E450">
        <v>8</v>
      </c>
      <c r="F450" t="s">
        <v>810</v>
      </c>
      <c r="G450" t="s">
        <v>695</v>
      </c>
      <c r="H450" t="s">
        <v>814</v>
      </c>
      <c r="I450" t="s">
        <v>678</v>
      </c>
    </row>
    <row r="451" spans="1:9">
      <c r="A451">
        <v>450</v>
      </c>
      <c r="B451" t="s">
        <v>583</v>
      </c>
      <c r="C451" t="s">
        <v>585</v>
      </c>
      <c r="D451" t="s">
        <v>469</v>
      </c>
      <c r="E451">
        <v>8</v>
      </c>
      <c r="F451" t="s">
        <v>810</v>
      </c>
      <c r="G451" t="s">
        <v>695</v>
      </c>
      <c r="H451" t="s">
        <v>814</v>
      </c>
      <c r="I451" t="s">
        <v>678</v>
      </c>
    </row>
    <row r="452" spans="1:9">
      <c r="A452">
        <v>451</v>
      </c>
      <c r="B452" t="s">
        <v>583</v>
      </c>
      <c r="C452" t="s">
        <v>585</v>
      </c>
      <c r="D452" t="s">
        <v>470</v>
      </c>
      <c r="E452">
        <v>6</v>
      </c>
      <c r="F452" t="s">
        <v>810</v>
      </c>
      <c r="G452" t="s">
        <v>695</v>
      </c>
      <c r="H452" t="s">
        <v>814</v>
      </c>
      <c r="I452" t="s">
        <v>678</v>
      </c>
    </row>
    <row r="453" spans="1:9">
      <c r="A453">
        <v>452</v>
      </c>
      <c r="B453" t="s">
        <v>583</v>
      </c>
      <c r="C453" t="s">
        <v>585</v>
      </c>
      <c r="D453" t="s">
        <v>269</v>
      </c>
      <c r="E453">
        <v>3</v>
      </c>
      <c r="F453" t="s">
        <v>810</v>
      </c>
      <c r="G453" t="s">
        <v>695</v>
      </c>
      <c r="H453" t="s">
        <v>814</v>
      </c>
      <c r="I453" t="s">
        <v>678</v>
      </c>
    </row>
    <row r="454" spans="1:9">
      <c r="A454">
        <v>453</v>
      </c>
      <c r="B454" t="s">
        <v>583</v>
      </c>
      <c r="C454" t="s">
        <v>586</v>
      </c>
      <c r="D454" t="s">
        <v>472</v>
      </c>
      <c r="E454">
        <v>50</v>
      </c>
      <c r="F454" t="s">
        <v>816</v>
      </c>
      <c r="G454" t="s">
        <v>695</v>
      </c>
      <c r="H454" t="s">
        <v>817</v>
      </c>
      <c r="I454" t="s">
        <v>680</v>
      </c>
    </row>
    <row r="455" spans="1:9">
      <c r="A455">
        <v>454</v>
      </c>
      <c r="B455" t="s">
        <v>583</v>
      </c>
      <c r="C455" t="s">
        <v>586</v>
      </c>
      <c r="D455" t="s">
        <v>473</v>
      </c>
      <c r="E455">
        <v>12</v>
      </c>
      <c r="F455" t="s">
        <v>816</v>
      </c>
      <c r="G455" t="s">
        <v>695</v>
      </c>
      <c r="H455" t="s">
        <v>817</v>
      </c>
      <c r="I455" t="s">
        <v>680</v>
      </c>
    </row>
    <row r="456" spans="1:9">
      <c r="A456">
        <v>455</v>
      </c>
      <c r="B456" t="s">
        <v>583</v>
      </c>
      <c r="C456" t="s">
        <v>586</v>
      </c>
      <c r="D456" t="s">
        <v>474</v>
      </c>
      <c r="E456">
        <v>8</v>
      </c>
      <c r="F456" t="s">
        <v>816</v>
      </c>
      <c r="G456" t="s">
        <v>695</v>
      </c>
      <c r="H456" t="s">
        <v>817</v>
      </c>
      <c r="I456" t="s">
        <v>680</v>
      </c>
    </row>
    <row r="457" spans="1:9">
      <c r="A457">
        <v>456</v>
      </c>
      <c r="B457" t="s">
        <v>583</v>
      </c>
      <c r="C457" t="s">
        <v>586</v>
      </c>
      <c r="D457" t="s">
        <v>199</v>
      </c>
      <c r="E457">
        <v>8</v>
      </c>
      <c r="F457" t="s">
        <v>816</v>
      </c>
      <c r="G457" t="s">
        <v>695</v>
      </c>
      <c r="H457" t="s">
        <v>817</v>
      </c>
      <c r="I457" t="s">
        <v>680</v>
      </c>
    </row>
    <row r="458" spans="1:9">
      <c r="A458">
        <v>457</v>
      </c>
      <c r="B458" t="s">
        <v>583</v>
      </c>
      <c r="C458" t="s">
        <v>586</v>
      </c>
      <c r="D458" t="s">
        <v>475</v>
      </c>
      <c r="E458">
        <v>10</v>
      </c>
      <c r="F458" t="s">
        <v>816</v>
      </c>
      <c r="G458" t="s">
        <v>695</v>
      </c>
      <c r="H458" t="s">
        <v>817</v>
      </c>
      <c r="I458" t="s">
        <v>680</v>
      </c>
    </row>
    <row r="459" spans="1:9">
      <c r="A459">
        <v>458</v>
      </c>
      <c r="B459" t="s">
        <v>583</v>
      </c>
      <c r="C459" t="s">
        <v>586</v>
      </c>
      <c r="D459" t="s">
        <v>476</v>
      </c>
      <c r="E459">
        <v>5</v>
      </c>
      <c r="F459" t="s">
        <v>816</v>
      </c>
      <c r="G459" t="s">
        <v>695</v>
      </c>
      <c r="H459" t="s">
        <v>817</v>
      </c>
      <c r="I459" t="s">
        <v>680</v>
      </c>
    </row>
    <row r="460" spans="1:9">
      <c r="A460">
        <v>459</v>
      </c>
      <c r="B460" t="s">
        <v>583</v>
      </c>
      <c r="C460" t="s">
        <v>586</v>
      </c>
      <c r="D460" t="s">
        <v>269</v>
      </c>
      <c r="E460">
        <v>7</v>
      </c>
      <c r="F460" t="s">
        <v>816</v>
      </c>
      <c r="G460" t="s">
        <v>695</v>
      </c>
      <c r="H460" t="s">
        <v>817</v>
      </c>
      <c r="I460" t="s">
        <v>680</v>
      </c>
    </row>
    <row r="461" spans="1:9">
      <c r="A461">
        <v>460</v>
      </c>
      <c r="B461" t="s">
        <v>583</v>
      </c>
      <c r="C461" t="s">
        <v>587</v>
      </c>
      <c r="D461" t="s">
        <v>477</v>
      </c>
      <c r="E461">
        <v>55</v>
      </c>
      <c r="F461" t="s">
        <v>818</v>
      </c>
      <c r="G461" t="s">
        <v>699</v>
      </c>
      <c r="H461" t="s">
        <v>819</v>
      </c>
      <c r="I461" t="s">
        <v>681</v>
      </c>
    </row>
    <row r="462" spans="1:9">
      <c r="A462">
        <v>461</v>
      </c>
      <c r="B462" t="s">
        <v>583</v>
      </c>
      <c r="C462" t="s">
        <v>587</v>
      </c>
      <c r="D462" t="s">
        <v>478</v>
      </c>
      <c r="E462">
        <v>15</v>
      </c>
      <c r="F462" t="s">
        <v>780</v>
      </c>
      <c r="G462" t="s">
        <v>699</v>
      </c>
      <c r="H462" t="s">
        <v>820</v>
      </c>
      <c r="I462" t="s">
        <v>682</v>
      </c>
    </row>
    <row r="463" spans="1:9">
      <c r="A463">
        <v>462</v>
      </c>
      <c r="B463" t="s">
        <v>583</v>
      </c>
      <c r="C463" t="s">
        <v>587</v>
      </c>
      <c r="D463" t="s">
        <v>479</v>
      </c>
      <c r="E463">
        <v>10</v>
      </c>
      <c r="F463" t="s">
        <v>740</v>
      </c>
      <c r="G463" t="s">
        <v>495</v>
      </c>
      <c r="H463" t="s">
        <v>821</v>
      </c>
      <c r="I463" t="s">
        <v>683</v>
      </c>
    </row>
    <row r="464" spans="1:9">
      <c r="A464">
        <v>463</v>
      </c>
      <c r="B464" t="s">
        <v>583</v>
      </c>
      <c r="C464" t="s">
        <v>587</v>
      </c>
      <c r="D464" t="s">
        <v>199</v>
      </c>
      <c r="E464">
        <v>5</v>
      </c>
      <c r="F464" t="s">
        <v>697</v>
      </c>
      <c r="G464" t="s">
        <v>495</v>
      </c>
      <c r="H464" t="s">
        <v>822</v>
      </c>
      <c r="I464" t="s">
        <v>684</v>
      </c>
    </row>
    <row r="465" spans="1:9">
      <c r="A465">
        <v>464</v>
      </c>
      <c r="B465" t="s">
        <v>583</v>
      </c>
      <c r="C465" t="s">
        <v>587</v>
      </c>
      <c r="D465" t="s">
        <v>480</v>
      </c>
      <c r="E465">
        <v>5</v>
      </c>
      <c r="F465" t="s">
        <v>763</v>
      </c>
      <c r="G465" t="s">
        <v>699</v>
      </c>
      <c r="H465" t="s">
        <v>823</v>
      </c>
      <c r="I465" t="s">
        <v>685</v>
      </c>
    </row>
    <row r="466" spans="1:9">
      <c r="A466">
        <v>465</v>
      </c>
      <c r="B466" t="s">
        <v>583</v>
      </c>
      <c r="C466" t="s">
        <v>587</v>
      </c>
      <c r="D466" t="s">
        <v>257</v>
      </c>
      <c r="E466">
        <v>10</v>
      </c>
      <c r="F466" t="s">
        <v>824</v>
      </c>
      <c r="G466" t="s">
        <v>495</v>
      </c>
      <c r="H466" t="s">
        <v>825</v>
      </c>
      <c r="I466" t="s">
        <v>686</v>
      </c>
    </row>
    <row r="467" spans="1:9">
      <c r="A467">
        <v>466</v>
      </c>
      <c r="B467" t="s">
        <v>583</v>
      </c>
      <c r="C467" t="s">
        <v>588</v>
      </c>
      <c r="D467" t="s">
        <v>199</v>
      </c>
      <c r="E467">
        <v>40</v>
      </c>
      <c r="F467" t="s">
        <v>697</v>
      </c>
      <c r="G467" t="s">
        <v>495</v>
      </c>
      <c r="H467" t="s">
        <v>822</v>
      </c>
      <c r="I467" t="s">
        <v>684</v>
      </c>
    </row>
    <row r="468" spans="1:9">
      <c r="A468">
        <v>467</v>
      </c>
      <c r="B468" t="s">
        <v>583</v>
      </c>
      <c r="C468" t="s">
        <v>588</v>
      </c>
      <c r="D468" t="s">
        <v>481</v>
      </c>
      <c r="E468">
        <v>15</v>
      </c>
      <c r="F468" t="s">
        <v>697</v>
      </c>
      <c r="G468" t="s">
        <v>495</v>
      </c>
      <c r="H468" t="s">
        <v>822</v>
      </c>
      <c r="I468" t="s">
        <v>684</v>
      </c>
    </row>
    <row r="469" spans="1:9">
      <c r="A469">
        <v>468</v>
      </c>
      <c r="B469" t="s">
        <v>583</v>
      </c>
      <c r="C469" t="s">
        <v>588</v>
      </c>
      <c r="D469" t="s">
        <v>482</v>
      </c>
      <c r="E469">
        <v>15</v>
      </c>
      <c r="F469" t="s">
        <v>818</v>
      </c>
      <c r="G469" t="s">
        <v>495</v>
      </c>
      <c r="H469" t="s">
        <v>826</v>
      </c>
      <c r="I469" t="s">
        <v>687</v>
      </c>
    </row>
    <row r="470" spans="1:9">
      <c r="A470">
        <v>469</v>
      </c>
      <c r="B470" t="s">
        <v>583</v>
      </c>
      <c r="C470" t="s">
        <v>588</v>
      </c>
      <c r="D470" t="s">
        <v>483</v>
      </c>
      <c r="E470">
        <v>10</v>
      </c>
      <c r="F470" t="s">
        <v>697</v>
      </c>
      <c r="G470" t="s">
        <v>495</v>
      </c>
      <c r="H470" t="s">
        <v>822</v>
      </c>
      <c r="I470" t="s">
        <v>684</v>
      </c>
    </row>
    <row r="471" spans="1:9">
      <c r="A471">
        <v>470</v>
      </c>
      <c r="B471" t="s">
        <v>583</v>
      </c>
      <c r="C471" t="s">
        <v>588</v>
      </c>
      <c r="D471" t="s">
        <v>484</v>
      </c>
      <c r="E471">
        <v>8</v>
      </c>
      <c r="F471" t="s">
        <v>697</v>
      </c>
      <c r="G471" t="s">
        <v>495</v>
      </c>
      <c r="H471" t="s">
        <v>822</v>
      </c>
      <c r="I471" t="s">
        <v>684</v>
      </c>
    </row>
    <row r="472" spans="1:9">
      <c r="A472">
        <v>471</v>
      </c>
      <c r="B472" t="s">
        <v>583</v>
      </c>
      <c r="C472" t="s">
        <v>588</v>
      </c>
      <c r="D472" t="s">
        <v>175</v>
      </c>
      <c r="E472">
        <v>7</v>
      </c>
      <c r="F472" t="s">
        <v>824</v>
      </c>
      <c r="G472" t="s">
        <v>495</v>
      </c>
      <c r="H472" t="s">
        <v>825</v>
      </c>
      <c r="I472" t="s">
        <v>686</v>
      </c>
    </row>
    <row r="473" spans="1:9">
      <c r="A473">
        <v>472</v>
      </c>
      <c r="B473" t="s">
        <v>583</v>
      </c>
      <c r="C473" t="s">
        <v>588</v>
      </c>
      <c r="D473" t="s">
        <v>357</v>
      </c>
      <c r="E473">
        <v>5</v>
      </c>
      <c r="F473" t="s">
        <v>701</v>
      </c>
      <c r="G473" t="s">
        <v>495</v>
      </c>
      <c r="H473" t="s">
        <v>827</v>
      </c>
      <c r="I473" t="s">
        <v>688</v>
      </c>
    </row>
    <row r="474" spans="1:9">
      <c r="A474">
        <v>473</v>
      </c>
      <c r="B474" t="s">
        <v>583</v>
      </c>
      <c r="C474" t="s">
        <v>589</v>
      </c>
      <c r="D474" t="s">
        <v>485</v>
      </c>
      <c r="E474">
        <v>30</v>
      </c>
      <c r="F474" t="s">
        <v>780</v>
      </c>
      <c r="G474" t="s">
        <v>699</v>
      </c>
      <c r="H474" t="s">
        <v>820</v>
      </c>
      <c r="I474" t="s">
        <v>682</v>
      </c>
    </row>
    <row r="475" spans="1:9">
      <c r="A475">
        <v>474</v>
      </c>
      <c r="B475" t="s">
        <v>583</v>
      </c>
      <c r="C475" t="s">
        <v>589</v>
      </c>
      <c r="D475" t="s">
        <v>486</v>
      </c>
      <c r="E475">
        <v>25</v>
      </c>
      <c r="F475" t="s">
        <v>758</v>
      </c>
      <c r="G475" t="s">
        <v>695</v>
      </c>
      <c r="H475" t="s">
        <v>828</v>
      </c>
      <c r="I475" t="s">
        <v>689</v>
      </c>
    </row>
    <row r="476" spans="1:9">
      <c r="A476">
        <v>475</v>
      </c>
      <c r="B476" t="s">
        <v>583</v>
      </c>
      <c r="C476" t="s">
        <v>589</v>
      </c>
      <c r="D476" t="s">
        <v>479</v>
      </c>
      <c r="E476">
        <v>15</v>
      </c>
      <c r="F476" t="s">
        <v>740</v>
      </c>
      <c r="G476" t="s">
        <v>495</v>
      </c>
      <c r="H476" t="s">
        <v>821</v>
      </c>
      <c r="I476" t="s">
        <v>683</v>
      </c>
    </row>
    <row r="477" spans="1:9">
      <c r="A477">
        <v>476</v>
      </c>
      <c r="B477" t="s">
        <v>583</v>
      </c>
      <c r="C477" t="s">
        <v>589</v>
      </c>
      <c r="D477" t="s">
        <v>199</v>
      </c>
      <c r="E477">
        <v>8</v>
      </c>
      <c r="F477" t="s">
        <v>697</v>
      </c>
      <c r="G477" t="s">
        <v>495</v>
      </c>
      <c r="H477" t="s">
        <v>822</v>
      </c>
      <c r="I477" t="s">
        <v>684</v>
      </c>
    </row>
    <row r="478" spans="1:9">
      <c r="A478">
        <v>477</v>
      </c>
      <c r="B478" t="s">
        <v>583</v>
      </c>
      <c r="C478" t="s">
        <v>589</v>
      </c>
      <c r="D478" t="s">
        <v>168</v>
      </c>
      <c r="E478">
        <v>10</v>
      </c>
      <c r="F478" t="s">
        <v>701</v>
      </c>
      <c r="G478" t="s">
        <v>495</v>
      </c>
      <c r="H478" t="s">
        <v>827</v>
      </c>
      <c r="I478" t="s">
        <v>688</v>
      </c>
    </row>
    <row r="479" spans="1:9">
      <c r="A479">
        <v>478</v>
      </c>
      <c r="B479" t="s">
        <v>583</v>
      </c>
      <c r="C479" t="s">
        <v>589</v>
      </c>
      <c r="D479" t="s">
        <v>480</v>
      </c>
      <c r="E479">
        <v>5</v>
      </c>
      <c r="F479" t="s">
        <v>763</v>
      </c>
      <c r="G479" t="s">
        <v>699</v>
      </c>
      <c r="H479" t="s">
        <v>823</v>
      </c>
      <c r="I479" t="s">
        <v>685</v>
      </c>
    </row>
    <row r="480" spans="1:9">
      <c r="A480">
        <v>479</v>
      </c>
      <c r="B480" t="s">
        <v>583</v>
      </c>
      <c r="C480" t="s">
        <v>589</v>
      </c>
      <c r="D480" t="s">
        <v>308</v>
      </c>
      <c r="E480">
        <v>7</v>
      </c>
      <c r="F480" t="s">
        <v>824</v>
      </c>
      <c r="G480" t="s">
        <v>495</v>
      </c>
      <c r="H480" t="s">
        <v>825</v>
      </c>
      <c r="I480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B46" sqref="B46"/>
    </sheetView>
  </sheetViews>
  <sheetFormatPr defaultRowHeight="14.25"/>
  <cols>
    <col min="1" max="1" width="28" customWidth="1"/>
    <col min="2" max="2" width="22" customWidth="1"/>
    <col min="4" max="5" width="22" customWidth="1"/>
  </cols>
  <sheetData>
    <row r="1" spans="1:5" ht="30">
      <c r="A1" s="1" t="s">
        <v>487</v>
      </c>
      <c r="B1" s="6" t="s">
        <v>488</v>
      </c>
      <c r="C1" s="1" t="s">
        <v>507</v>
      </c>
      <c r="D1" s="1" t="s">
        <v>489</v>
      </c>
      <c r="E1" s="6" t="s">
        <v>508</v>
      </c>
    </row>
    <row r="2" spans="1:5">
      <c r="A2" t="s">
        <v>490</v>
      </c>
      <c r="B2">
        <v>12</v>
      </c>
      <c r="D2" t="s">
        <v>491</v>
      </c>
      <c r="E2">
        <v>1</v>
      </c>
    </row>
    <row r="3" spans="1:5">
      <c r="A3" t="s">
        <v>492</v>
      </c>
      <c r="B3">
        <v>4</v>
      </c>
      <c r="D3" t="s">
        <v>493</v>
      </c>
      <c r="E3">
        <v>3</v>
      </c>
    </row>
    <row r="4" spans="1:5">
      <c r="A4" t="s">
        <v>494</v>
      </c>
      <c r="B4">
        <v>3</v>
      </c>
      <c r="D4" t="s">
        <v>495</v>
      </c>
      <c r="E4">
        <v>6</v>
      </c>
    </row>
    <row r="5" spans="1:5">
      <c r="A5" t="s">
        <v>496</v>
      </c>
      <c r="B5">
        <v>18</v>
      </c>
      <c r="D5" t="s">
        <v>497</v>
      </c>
      <c r="E5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25"/>
  <cols>
    <col min="1" max="1" width="28" customWidth="1"/>
    <col min="2" max="2" width="70" customWidth="1"/>
  </cols>
  <sheetData>
    <row r="1" spans="1:5" ht="15">
      <c r="A1" s="1" t="s">
        <v>498</v>
      </c>
      <c r="B1" s="1" t="s">
        <v>499</v>
      </c>
      <c r="C1" s="5"/>
      <c r="D1" s="5"/>
      <c r="E1" s="5"/>
    </row>
    <row r="2" spans="1:5">
      <c r="A2" t="s">
        <v>130</v>
      </c>
      <c r="B2" t="s">
        <v>500</v>
      </c>
    </row>
    <row r="3" spans="1:5">
      <c r="A3" t="s">
        <v>131</v>
      </c>
      <c r="B3" t="s">
        <v>501</v>
      </c>
    </row>
    <row r="4" spans="1:5">
      <c r="A4" t="s">
        <v>96</v>
      </c>
      <c r="B4" t="s">
        <v>502</v>
      </c>
    </row>
    <row r="5" spans="1:5">
      <c r="A5" t="s">
        <v>503</v>
      </c>
      <c r="B5" t="s">
        <v>504</v>
      </c>
    </row>
    <row r="6" spans="1:5">
      <c r="A6" t="s">
        <v>505</v>
      </c>
      <c r="B6" t="s">
        <v>506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Unique_Assumption_Library</vt:lpstr>
      <vt:lpstr>Building_Type</vt:lpstr>
      <vt:lpstr>Loss_Constants</vt:lpstr>
      <vt:lpstr>Method_Notes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Fuzail Khan F</dc:creator>
  <cp:lastModifiedBy>Ahmed Fuzail Khan</cp:lastModifiedBy>
  <dcterms:created xsi:type="dcterms:W3CDTF">2026-07-09T16:47:33Z</dcterms:created>
  <dcterms:modified xsi:type="dcterms:W3CDTF">2026-07-09T16:57:16Z</dcterms:modified>
</cp:coreProperties>
</file>